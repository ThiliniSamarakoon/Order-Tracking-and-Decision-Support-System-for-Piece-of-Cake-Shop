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4.xml" ContentType="application/vnd.openxmlformats-officedocument.drawing+xml"/>
  <Override PartName="/xl/ctrlProps/ctrlProp16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OneDrive\Desktop\Uni Projects\4.MS Excel Order Tracking Project\"/>
    </mc:Choice>
  </mc:AlternateContent>
  <xr:revisionPtr revIDLastSave="0" documentId="13_ncr:1_{9B86AF70-8AF0-48C9-9CF0-668DD106BC36}" xr6:coauthVersionLast="47" xr6:coauthVersionMax="47" xr10:uidLastSave="{00000000-0000-0000-0000-000000000000}"/>
  <bookViews>
    <workbookView xWindow="-108" yWindow="-108" windowWidth="23256" windowHeight="12456" xr2:uid="{6D60D934-562C-400D-9E67-BDBC019CE69D}"/>
  </bookViews>
  <sheets>
    <sheet name="Home" sheetId="11" r:id="rId1"/>
    <sheet name="piece_of_cake1" sheetId="2" state="hidden" r:id="rId2"/>
    <sheet name="Dashboard" sheetId="1" state="hidden" r:id="rId3"/>
    <sheet name="AllTables" sheetId="3" state="hidden" r:id="rId4"/>
    <sheet name="inventory" sheetId="14" state="hidden" r:id="rId5"/>
    <sheet name="customer" sheetId="6" state="hidden" r:id="rId6"/>
    <sheet name="cart" sheetId="4" state="hidden" r:id="rId7"/>
    <sheet name="checkout" sheetId="5" state="hidden" r:id="rId8"/>
    <sheet name="customized_orders" sheetId="7" state="hidden" r:id="rId9"/>
    <sheet name="installments" sheetId="8" state="hidden" r:id="rId10"/>
    <sheet name="orders" sheetId="9" state="hidden" r:id="rId11"/>
    <sheet name="products" sheetId="10" state="hidden" r:id="rId12"/>
    <sheet name="Sales Dashboard" sheetId="16" state="hidden" r:id="rId13"/>
  </sheets>
  <definedNames>
    <definedName name="ExternalData_1" localSheetId="3" hidden="1">AllTables!$A$2:$H$4</definedName>
    <definedName name="ExternalData_1" localSheetId="6" hidden="1">'cart'!$A$1:$L$25</definedName>
    <definedName name="ExternalData_1" localSheetId="7" hidden="1">'checkout'!$A$1:$K$16</definedName>
    <definedName name="ExternalData_1" localSheetId="5" hidden="1">'customer'!$A$1:$K$13</definedName>
    <definedName name="ExternalData_1" localSheetId="8" hidden="1">'customized_orders'!$A$1:$G$12</definedName>
    <definedName name="ExternalData_1" localSheetId="9" hidden="1">installments!$A$1:$H$7</definedName>
    <definedName name="ExternalData_1" localSheetId="4" hidden="1">inventory!$A$1:$F$6</definedName>
    <definedName name="ExternalData_1" localSheetId="10" hidden="1">orders!$A$1:$Q$17</definedName>
    <definedName name="ExternalData_1" localSheetId="1" hidden="1">piece_of_cake1!$A$1:$C$16</definedName>
    <definedName name="ExternalData_1" localSheetId="11" hidden="1">products!$A$1:$N$36</definedName>
    <definedName name="ExternalData_2" localSheetId="3" hidden="1">AllTables!$K$2:$V$26</definedName>
    <definedName name="ExternalData_3" localSheetId="3" hidden="1">AllTables!$Y$2:$AI$17</definedName>
    <definedName name="ExternalData_4" localSheetId="3" hidden="1">AllTables!$AU$2:$BA$13</definedName>
    <definedName name="ExternalData_5" localSheetId="3" hidden="1">AllTables!$BD$2:$BK$8</definedName>
    <definedName name="ExternalData_6" localSheetId="3" hidden="1">AllTables!$BN$2:$CD$18</definedName>
    <definedName name="ExternalData_7" localSheetId="3" hidden="1">AllTables!$CG$2:$CT$37</definedName>
    <definedName name="ExternalData_8" localSheetId="3" hidden="1">AllTables!$CW$2:$DB$7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6" l="1"/>
  <c r="E23" i="16"/>
  <c r="D22" i="16"/>
  <c r="E22" i="16"/>
  <c r="D21" i="16"/>
  <c r="E21" i="16"/>
  <c r="O6" i="16"/>
  <c r="P6" i="16"/>
  <c r="O5" i="16"/>
  <c r="P5" i="16"/>
  <c r="D5" i="16"/>
  <c r="D6" i="16"/>
  <c r="D7" i="16"/>
  <c r="D8" i="16"/>
  <c r="D9" i="16"/>
  <c r="D10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BC628AA-3B06-4779-8AFD-5F0BA5F62AF6}" keepAlive="1" name="Query - admin" description="Connection to the 'admin' query in the workbook." type="5" refreshedVersion="8" background="1" saveData="1">
    <dbPr connection="Provider=Microsoft.Mashup.OleDb.1;Data Source=$Workbook$;Location=admin;Extended Properties=&quot;&quot;" command="SELECT * FROM [admin]"/>
  </connection>
  <connection id="2" xr16:uid="{FAC667F2-30D0-4DBE-B083-B9A0A0EA008A}" keepAlive="1" name="Query - cart" description="Connection to the 'cart' query in the workbook." type="5" refreshedVersion="8" background="1" saveData="1">
    <dbPr connection="Provider=Microsoft.Mashup.OleDb.1;Data Source=$Workbook$;Location=cart;Extended Properties=&quot;&quot;" command="SELECT * FROM [cart]"/>
  </connection>
  <connection id="3" xr16:uid="{B2B958B4-8533-45DD-8FCC-73DC192FDF57}" keepAlive="1" name="Query - cart (2)" description="Connection to the 'cart (2)' query in the workbook." type="5" refreshedVersion="8" background="1" saveData="1">
    <dbPr connection="Provider=Microsoft.Mashup.OleDb.1;Data Source=$Workbook$;Location=&quot;cart (2)&quot;;Extended Properties=&quot;&quot;" command="SELECT * FROM [cart (2)]"/>
  </connection>
  <connection id="4" xr16:uid="{586FB3BD-13F7-4DBB-A6F0-F2509CEC6DC9}" keepAlive="1" name="Query - checkout" description="Connection to the 'checkout' query in the workbook." type="5" refreshedVersion="8" background="1" saveData="1">
    <dbPr connection="Provider=Microsoft.Mashup.OleDb.1;Data Source=$Workbook$;Location=checkout;Extended Properties=&quot;&quot;" command="SELECT * FROM [checkout]"/>
  </connection>
  <connection id="5" xr16:uid="{00AF7B86-BFBF-438D-A080-96EC458283CE}" keepAlive="1" name="Query - checkout (2)" description="Connection to the 'checkout (2)' query in the workbook." type="5" refreshedVersion="8" background="1" saveData="1">
    <dbPr connection="Provider=Microsoft.Mashup.OleDb.1;Data Source=$Workbook$;Location=&quot;checkout (2)&quot;;Extended Properties=&quot;&quot;" command="SELECT * FROM [checkout (2)]"/>
  </connection>
  <connection id="6" xr16:uid="{862727F3-8740-4E21-A942-6F9F243D4F98}" keepAlive="1" name="Query - customer" description="Connection to the 'customer' query in the workbook." type="5" refreshedVersion="8" background="1" saveData="1">
    <dbPr connection="Provider=Microsoft.Mashup.OleDb.1;Data Source=$Workbook$;Location=customer;Extended Properties=&quot;&quot;" command="SELECT * FROM [customer]"/>
  </connection>
  <connection id="7" xr16:uid="{2E738C71-B833-4C3E-A1E1-70937D490D33}" keepAlive="1" name="Query - customized_orders" description="Connection to the 'customized_orders' query in the workbook." type="5" refreshedVersion="8" background="1" saveData="1">
    <dbPr connection="Provider=Microsoft.Mashup.OleDb.1;Data Source=$Workbook$;Location=customized_orders;Extended Properties=&quot;&quot;" command="SELECT * FROM [customized_orders]"/>
  </connection>
  <connection id="8" xr16:uid="{4333508A-7E99-4E5B-B3E5-15DBBFDCE249}" keepAlive="1" name="Query - customized_orders (2)" description="Connection to the 'customized_orders (2)' query in the workbook." type="5" refreshedVersion="8" background="1" saveData="1">
    <dbPr connection="Provider=Microsoft.Mashup.OleDb.1;Data Source=$Workbook$;Location=&quot;customized_orders (2)&quot;;Extended Properties=&quot;&quot;" command="SELECT * FROM [customized_orders (2)]"/>
  </connection>
  <connection id="9" xr16:uid="{3E4CB40C-1510-453B-9AE9-3DF985D10D56}" keepAlive="1" name="Query - installments" description="Connection to the 'installments' query in the workbook." type="5" refreshedVersion="8" background="1" saveData="1">
    <dbPr connection="Provider=Microsoft.Mashup.OleDb.1;Data Source=$Workbook$;Location=installments;Extended Properties=&quot;&quot;" command="SELECT * FROM [installments]"/>
  </connection>
  <connection id="10" xr16:uid="{1A3C7DB4-CE23-405D-B6B6-D657851E9490}" keepAlive="1" name="Query - installments (2)" description="Connection to the 'installments (2)' query in the workbook." type="5" refreshedVersion="8" background="1" saveData="1">
    <dbPr connection="Provider=Microsoft.Mashup.OleDb.1;Data Source=$Workbook$;Location=&quot;installments (2)&quot;;Extended Properties=&quot;&quot;" command="SELECT * FROM [installments (2)]"/>
  </connection>
  <connection id="11" xr16:uid="{C20C491B-9BF6-4C2A-A89C-7CF025BDDBBC}" keepAlive="1" name="Query - inventory" description="Connection to the 'inventory' query in the workbook." type="5" refreshedVersion="8" background="1" saveData="1">
    <dbPr connection="Provider=Microsoft.Mashup.OleDb.1;Data Source=$Workbook$;Location=inventory;Extended Properties=&quot;&quot;" command="SELECT * FROM [inventory]"/>
  </connection>
  <connection id="12" xr16:uid="{D35ADA1F-BEE8-4C2B-A913-3F4A9E53DD43}" keepAlive="1" name="Query - inventory (2)" description="Connection to the 'inventory (2)' query in the workbook." type="5" refreshedVersion="8" background="1" saveData="1">
    <dbPr connection="Provider=Microsoft.Mashup.OleDb.1;Data Source=$Workbook$;Location=&quot;inventory (2)&quot;;Extended Properties=&quot;&quot;" command="SELECT * FROM [inventory (2)]"/>
  </connection>
  <connection id="13" xr16:uid="{1D8543FA-3638-4D70-8A93-C1BDCF88AC6C}" keepAlive="1" name="Query - orders" description="Connection to the 'orders' query in the workbook." type="5" refreshedVersion="8" background="1" saveData="1">
    <dbPr connection="Provider=Microsoft.Mashup.OleDb.1;Data Source=$Workbook$;Location=orders;Extended Properties=&quot;&quot;" command="SELECT * FROM [orders]"/>
  </connection>
  <connection id="14" xr16:uid="{2652B567-041F-49D4-BE67-711C69BD69AE}" keepAlive="1" name="Query - orders (2)" description="Connection to the 'orders (2)' query in the workbook." type="5" refreshedVersion="8" background="1" saveData="1">
    <dbPr connection="Provider=Microsoft.Mashup.OleDb.1;Data Source=$Workbook$;Location=&quot;orders (2)&quot;;Extended Properties=&quot;&quot;" command="SELECT * FROM [orders (2)]"/>
  </connection>
  <connection id="15" xr16:uid="{40BB96CF-8770-4BD4-B493-3BF6D9502AD7}" keepAlive="1" name="Query - piece_of_cake1" description="Connection to the 'piece_of_cake1' query in the workbook." type="5" refreshedVersion="8" background="1" saveData="1">
    <dbPr connection="Provider=Microsoft.Mashup.OleDb.1;Data Source=$Workbook$;Location=piece_of_cake1;Extended Properties=&quot;&quot;" command="SELECT * FROM [piece_of_cake1]"/>
  </connection>
  <connection id="16" xr16:uid="{E6F44F89-2913-4474-A1F7-C1C1395DF466}" keepAlive="1" name="Query - products" description="Connection to the 'products' query in the workbook." type="5" refreshedVersion="8" background="1" saveData="1">
    <dbPr connection="Provider=Microsoft.Mashup.OleDb.1;Data Source=$Workbook$;Location=products;Extended Properties=&quot;&quot;" command="SELECT * FROM [products]"/>
  </connection>
  <connection id="17" xr16:uid="{8F548953-5584-4B8E-AA24-D01424778142}" keepAlive="1" name="Query - products (2)" description="Connection to the 'products (2)' query in the workbook." type="5" refreshedVersion="8" background="1" saveData="1">
    <dbPr connection="Provider=Microsoft.Mashup.OleDb.1;Data Source=$Workbook$;Location=&quot;products (2)&quot;;Extended Properties=&quot;&quot;" command="SELECT * FROM [products (2)]"/>
  </connection>
</connections>
</file>

<file path=xl/sharedStrings.xml><?xml version="1.0" encoding="utf-8"?>
<sst xmlns="http://schemas.openxmlformats.org/spreadsheetml/2006/main" count="1860" uniqueCount="396">
  <si>
    <t>Name</t>
  </si>
  <si>
    <t>Description</t>
  </si>
  <si>
    <t>Kind</t>
  </si>
  <si>
    <t>admin</t>
  </si>
  <si>
    <t/>
  </si>
  <si>
    <t>Table</t>
  </si>
  <si>
    <t>birthday_cakes</t>
  </si>
  <si>
    <t>cart</t>
  </si>
  <si>
    <t>checkout</t>
  </si>
  <si>
    <t>customer</t>
  </si>
  <si>
    <t>customized_orders</t>
  </si>
  <si>
    <t>failed_jobs</t>
  </si>
  <si>
    <t>installments</t>
  </si>
  <si>
    <t>migrations</t>
  </si>
  <si>
    <t>orders</t>
  </si>
  <si>
    <t>password_reset_tokens</t>
  </si>
  <si>
    <t>personal_access_tokens</t>
  </si>
  <si>
    <t>products</t>
  </si>
  <si>
    <t>users</t>
  </si>
  <si>
    <t>id</t>
  </si>
  <si>
    <t>AdminName</t>
  </si>
  <si>
    <t>AdminRole</t>
  </si>
  <si>
    <t>Email</t>
  </si>
  <si>
    <t>Password</t>
  </si>
  <si>
    <t>ContactNo</t>
  </si>
  <si>
    <t>created_at</t>
  </si>
  <si>
    <t>updated_at</t>
  </si>
  <si>
    <t>Thilini1226</t>
  </si>
  <si>
    <t>owner</t>
  </si>
  <si>
    <t>thilinibhagya1226@gmail.com</t>
  </si>
  <si>
    <t>Bhagya99</t>
  </si>
  <si>
    <t>order_id</t>
  </si>
  <si>
    <t>image_path</t>
  </si>
  <si>
    <t>price</t>
  </si>
  <si>
    <t>quantity</t>
  </si>
  <si>
    <t>weight</t>
  </si>
  <si>
    <t>order_date</t>
  </si>
  <si>
    <t>delivery</t>
  </si>
  <si>
    <t>total_price</t>
  </si>
  <si>
    <t>http://127.0.0.1:8000/images/Birthday_Cakes/image1.jpg</t>
  </si>
  <si>
    <t>1 kg</t>
  </si>
  <si>
    <t>Rs.4500.00</t>
  </si>
  <si>
    <t>http://127.0.0.1:8000/images/Birthday_Cakes/image3.jpg</t>
  </si>
  <si>
    <t>0.5 kg</t>
  </si>
  <si>
    <t>Rs.2700.00</t>
  </si>
  <si>
    <t>http://127.0.0.1:8000/images/Birthday_Cakes/image4.jpg</t>
  </si>
  <si>
    <t>Rs.2250.00</t>
  </si>
  <si>
    <t>http://127.0.0.1:8000/images/Birthday_Cakes/image5.jpg</t>
  </si>
  <si>
    <t>Rs.5500.00</t>
  </si>
  <si>
    <t>http://127.0.0.1:8000/images/Birthday_Cakes/image9.jpg</t>
  </si>
  <si>
    <t>1.5 kg</t>
  </si>
  <si>
    <t>Rs.7900.00</t>
  </si>
  <si>
    <t>http://127.0.0.1:8000/images/Birthday_Cakes/image6.jpg</t>
  </si>
  <si>
    <t>Rs.2450.00</t>
  </si>
  <si>
    <t>http://127.0.0.1:8000/images/Birthday_Cakes/image14.jpg</t>
  </si>
  <si>
    <t>Rs.7800.00</t>
  </si>
  <si>
    <t>Rs.2900.00</t>
  </si>
  <si>
    <t>Rs.4200.00</t>
  </si>
  <si>
    <t>Rs.2650.00</t>
  </si>
  <si>
    <t>Rs.6700.00</t>
  </si>
  <si>
    <t>http://127.0.0.1:8000/images/Birthday_Cakes/image2.jpg</t>
  </si>
  <si>
    <t>Rs.5400.00</t>
  </si>
  <si>
    <t>email</t>
  </si>
  <si>
    <t>contact_no</t>
  </si>
  <si>
    <t>street_address</t>
  </si>
  <si>
    <t>city</t>
  </si>
  <si>
    <t>payment_method</t>
  </si>
  <si>
    <t>payment_option</t>
  </si>
  <si>
    <t>delivery_note</t>
  </si>
  <si>
    <t>0702008437</t>
  </si>
  <si>
    <t>debitCreditCard</t>
  </si>
  <si>
    <t>payFullPayment</t>
  </si>
  <si>
    <t>bhagyatb26@gmail.com</t>
  </si>
  <si>
    <t>0762523460</t>
  </si>
  <si>
    <t>14B/22 Sadaham Uyana, Mattegoda</t>
  </si>
  <si>
    <t>Kottawa</t>
  </si>
  <si>
    <t>cashOnDelivery</t>
  </si>
  <si>
    <t>lihini21@yahoo.com</t>
  </si>
  <si>
    <t>0756235410</t>
  </si>
  <si>
    <t>bankDeposit</t>
  </si>
  <si>
    <t>risini810@yahoo.com</t>
  </si>
  <si>
    <t>+94762523460</t>
  </si>
  <si>
    <t>360/A Perera Rd, Maharagama</t>
  </si>
  <si>
    <t>Maharagama</t>
  </si>
  <si>
    <t>payAdvance</t>
  </si>
  <si>
    <t>0717494067</t>
  </si>
  <si>
    <t>255/B De Village Rd, Homagama</t>
  </si>
  <si>
    <t>Homagama</t>
  </si>
  <si>
    <t>CustomerID</t>
  </si>
  <si>
    <t>FirstName</t>
  </si>
  <si>
    <t>LastName</t>
  </si>
  <si>
    <t>UserName</t>
  </si>
  <si>
    <t>Address</t>
  </si>
  <si>
    <t>Gender</t>
  </si>
  <si>
    <t>Bhagya</t>
  </si>
  <si>
    <t>Samarakoon</t>
  </si>
  <si>
    <t>bhagya99</t>
  </si>
  <si>
    <t>female</t>
  </si>
  <si>
    <t>$2y$10$SYUJYWjeUremLYkMj2GT7.kZjLDUbqpi6ZJ.djAUx01RkGcLMZ9p6</t>
  </si>
  <si>
    <t>Thilini</t>
  </si>
  <si>
    <t>thinu26</t>
  </si>
  <si>
    <t>360/A Araliya Road, Mt. Lavinia</t>
  </si>
  <si>
    <t>$2y$10$3XZqy1oay4qkF2hv7wOSleNxHSPimU0aASEZOLzGzUDvrUdDdCsn.</t>
  </si>
  <si>
    <t>Nilakshi</t>
  </si>
  <si>
    <t>Fernando</t>
  </si>
  <si>
    <t>nilakshi24@gmail.com</t>
  </si>
  <si>
    <t>0770664526</t>
  </si>
  <si>
    <t>nishi24</t>
  </si>
  <si>
    <t>12/A Siddamulla, Piliyandala</t>
  </si>
  <si>
    <t>$2y$10$Qf5WGZXb3/ENoESKjA0xMu.YSWhx8vOIT9eKUF.CIiI4BV4Xg6jHu</t>
  </si>
  <si>
    <t>Risini</t>
  </si>
  <si>
    <t>Dinara</t>
  </si>
  <si>
    <t>risinidinara810</t>
  </si>
  <si>
    <t>564/C Perera Rd., Kandy</t>
  </si>
  <si>
    <t>$2y$10$vC58G5RJ2IWBin94UmT0z.1uLeHwhrg9qnIRT2bvfGHg/eyD9AlCC</t>
  </si>
  <si>
    <t>Aruna</t>
  </si>
  <si>
    <t>aruna0610@gmail.com</t>
  </si>
  <si>
    <t>aruna0610</t>
  </si>
  <si>
    <t>256/A Saliya Mawatha, Mattegoda</t>
  </si>
  <si>
    <t>male</t>
  </si>
  <si>
    <t>$2y$10$z9cTwww4fE3qcpJ5S.LsOuTHdwZjp9ziaI1zArMQRgZx07ggmsZMa</t>
  </si>
  <si>
    <t>Lihini</t>
  </si>
  <si>
    <t>Himara</t>
  </si>
  <si>
    <t>0752141256</t>
  </si>
  <si>
    <t>lihini22</t>
  </si>
  <si>
    <t>542/B De Village Rd., Moratuwa</t>
  </si>
  <si>
    <t>$2y$10$bswxZvJLjX1npngh97Giy.aNosuHVUpT1PNVCcaq.GCDAv731.ICW</t>
  </si>
  <si>
    <t>Dulanji</t>
  </si>
  <si>
    <t>dula45@gmail.com</t>
  </si>
  <si>
    <t>0774562102</t>
  </si>
  <si>
    <t>dula2002</t>
  </si>
  <si>
    <t>15A/22 Pubudu Mawatha, Mattegoda</t>
  </si>
  <si>
    <t>$2y$10$dI3Hd/3Hyb2TrDR7uDh6y.AOe1S5/dUdnLbxXeLFNSPbOE2uyYi6a</t>
  </si>
  <si>
    <t>$2y$10$1G.JO0Ipf.5Z.EgJJT5UQ.129Qb3WsTIICK86hsCVFV/3dT4DqIP2</t>
  </si>
  <si>
    <t>Indika</t>
  </si>
  <si>
    <t>Perera</t>
  </si>
  <si>
    <t>indika80@gmail.com</t>
  </si>
  <si>
    <t>indika80</t>
  </si>
  <si>
    <t>$2y$10$ZR5d4eM0GCaepxoyPuv4FeV0fQKcLSceABb028DgkDXTp4aAj4Vsq</t>
  </si>
  <si>
    <t>Lilani</t>
  </si>
  <si>
    <t>Wijegunewardena</t>
  </si>
  <si>
    <t>lilani77@yahoo.com</t>
  </si>
  <si>
    <t>lilani77</t>
  </si>
  <si>
    <t>15/A Lake View Rd, Rathmalana</t>
  </si>
  <si>
    <t>$2y$10$LvH.rOV50U7zttpL6thwDOKN4qvGf7Uzj8yWEab/wlZmk4PoixuOW</t>
  </si>
  <si>
    <t>Tharushi</t>
  </si>
  <si>
    <t>tharushi24@gmail.com</t>
  </si>
  <si>
    <t>0771256410</t>
  </si>
  <si>
    <t>tharu24</t>
  </si>
  <si>
    <t>$2y$10$nFNFNmEASp1JSpX1KYF1SulZwWmZvjcOfQHBQKXpwKLZ3NpCvCFEm</t>
  </si>
  <si>
    <t>Yashodha</t>
  </si>
  <si>
    <t>Siriwardene</t>
  </si>
  <si>
    <t>yash03@yahoo.com</t>
  </si>
  <si>
    <t>0778556120</t>
  </si>
  <si>
    <t>yash03</t>
  </si>
  <si>
    <t>255/B Salgaha junction, Mattegoda</t>
  </si>
  <si>
    <t>$2y$10$JEF1v3TWdRdxXDitRC4O9.DJeQ.8XTwdPWuv12ISKt1VXPta3FSae</t>
  </si>
  <si>
    <t>Image</t>
  </si>
  <si>
    <t>lihini26</t>
  </si>
  <si>
    <t>lihini1226</t>
  </si>
  <si>
    <t>dwduwndw56</t>
  </si>
  <si>
    <t>fefefefff</t>
  </si>
  <si>
    <t>lihini1221</t>
  </si>
  <si>
    <t>next_payment_date</t>
  </si>
  <si>
    <t>due_amount</t>
  </si>
  <si>
    <t>pay_amount</t>
  </si>
  <si>
    <t>remaining_amount</t>
  </si>
  <si>
    <t>OrderID</t>
  </si>
  <si>
    <t>ProductID</t>
  </si>
  <si>
    <t>Cake_Name</t>
  </si>
  <si>
    <t>Price</t>
  </si>
  <si>
    <t>Cake_Type</t>
  </si>
  <si>
    <t>Icing_Type</t>
  </si>
  <si>
    <t>Input_Cake_Weight</t>
  </si>
  <si>
    <t>Input_Cake_Type</t>
  </si>
  <si>
    <t>Message_on_cake</t>
  </si>
  <si>
    <t>PaymentStatus</t>
  </si>
  <si>
    <t>DeliveryStatus</t>
  </si>
  <si>
    <t>customer_id</t>
  </si>
  <si>
    <t>Reviews</t>
  </si>
  <si>
    <t>Feedbacks</t>
  </si>
  <si>
    <t>Rating</t>
  </si>
  <si>
    <t>BG001</t>
  </si>
  <si>
    <t>Princess Theme Cake</t>
  </si>
  <si>
    <t>Ribbon</t>
  </si>
  <si>
    <t>Buttercream_Icing</t>
  </si>
  <si>
    <t>chocolate</t>
  </si>
  <si>
    <t>Happy Birthday Bhagya!</t>
  </si>
  <si>
    <t>Completed</t>
  </si>
  <si>
    <t>Pending</t>
  </si>
  <si>
    <t>Nice</t>
  </si>
  <si>
    <t>BB003</t>
  </si>
  <si>
    <t>Green Theme Cake</t>
  </si>
  <si>
    <t>Butter</t>
  </si>
  <si>
    <t>Fondant</t>
  </si>
  <si>
    <t>butter</t>
  </si>
  <si>
    <t>BC004</t>
  </si>
  <si>
    <t>Fruit Theme Cake</t>
  </si>
  <si>
    <t>Chocolate</t>
  </si>
  <si>
    <t>ribbon</t>
  </si>
  <si>
    <t>BC005</t>
  </si>
  <si>
    <t>Chocolate &amp; Strawberry Cake</t>
  </si>
  <si>
    <t>1st_Installment</t>
  </si>
  <si>
    <t>BK009</t>
  </si>
  <si>
    <t>Cartoon theme Cake</t>
  </si>
  <si>
    <t>red_velvet</t>
  </si>
  <si>
    <t>BG006</t>
  </si>
  <si>
    <t>Red &amp; White Theme Heart Cake</t>
  </si>
  <si>
    <t>Happy Birthday Bhagya</t>
  </si>
  <si>
    <t>Happy Birthday Risini</t>
  </si>
  <si>
    <t>BF014</t>
  </si>
  <si>
    <t>Red_Velvet</t>
  </si>
  <si>
    <t>Happy Birthday Kasuni</t>
  </si>
  <si>
    <t>BC002</t>
  </si>
  <si>
    <t>Guitar Theme Cake</t>
  </si>
  <si>
    <t>image</t>
  </si>
  <si>
    <t>category</t>
  </si>
  <si>
    <t>item_name</t>
  </si>
  <si>
    <t>item_weight</t>
  </si>
  <si>
    <t>cake_type</t>
  </si>
  <si>
    <t>icing_type</t>
  </si>
  <si>
    <t>rating</t>
  </si>
  <si>
    <t>feedbacks</t>
  </si>
  <si>
    <t>data_category</t>
  </si>
  <si>
    <t>images/Birthday_Cakes/image1.jpg</t>
  </si>
  <si>
    <t>4200.00</t>
  </si>
  <si>
    <t>Birthday_Cakes</t>
  </si>
  <si>
    <t>Cakes for Girls</t>
  </si>
  <si>
    <t>images/Birthday_Cakes/image2.jpg</t>
  </si>
  <si>
    <t>4500.00</t>
  </si>
  <si>
    <t>Common</t>
  </si>
  <si>
    <t>images/Birthday_Cakes/image3.jpg</t>
  </si>
  <si>
    <t>5000.00</t>
  </si>
  <si>
    <t>Cakes for Boys</t>
  </si>
  <si>
    <t>images/Birthday_Cakes/image4.jpg</t>
  </si>
  <si>
    <t>4500.00/per 1kg</t>
  </si>
  <si>
    <t>500 g</t>
  </si>
  <si>
    <t>images/Birthday_Cakes/image5.jpg</t>
  </si>
  <si>
    <t>images/Birthday_Cakes/image6.jpg</t>
  </si>
  <si>
    <t>BG007</t>
  </si>
  <si>
    <t>images/Birthday_Cakes/image7.jpg</t>
  </si>
  <si>
    <t>Butterfly Theme Cake</t>
  </si>
  <si>
    <t>BW008</t>
  </si>
  <si>
    <t>images/Birthday_Cakes/image8.jpg</t>
  </si>
  <si>
    <t>3800.00</t>
  </si>
  <si>
    <t>Flower Theme Cake</t>
  </si>
  <si>
    <t>Cakes for Girls/Mothers</t>
  </si>
  <si>
    <t>images/Birthday_Cakes/image9.jpg</t>
  </si>
  <si>
    <t>Cakes for Girls/Boys</t>
  </si>
  <si>
    <t>BC010</t>
  </si>
  <si>
    <t>images/Birthday_Cakes/image10.jpg</t>
  </si>
  <si>
    <t>iPhone Theme Cake</t>
  </si>
  <si>
    <t>BK011</t>
  </si>
  <si>
    <t>images/Birthday_Cakes/image11.jpg</t>
  </si>
  <si>
    <t>4000.00/per 1kg</t>
  </si>
  <si>
    <t>Solar System Theme Cake</t>
  </si>
  <si>
    <t>BM012</t>
  </si>
  <si>
    <t>images/Birthday_Cakes/image12.jpg</t>
  </si>
  <si>
    <t>Shirt Theme Cake</t>
  </si>
  <si>
    <t>Cakes for Boys/Fathers</t>
  </si>
  <si>
    <t>BC013</t>
  </si>
  <si>
    <t>images/Birthday_Cakes/image13.jpg</t>
  </si>
  <si>
    <t>3500.00</t>
  </si>
  <si>
    <t>Mirror glaze Cake</t>
  </si>
  <si>
    <t>images/Birthday_Cakes/image14.jpg</t>
  </si>
  <si>
    <t>5200.00</t>
  </si>
  <si>
    <t>Cakes for Fathers</t>
  </si>
  <si>
    <t>BG015</t>
  </si>
  <si>
    <t>images/Birthday_Cakes/image15.jpg</t>
  </si>
  <si>
    <t>Garden Theme Cake</t>
  </si>
  <si>
    <t>BK016</t>
  </si>
  <si>
    <t>images/Birthday_Cakes/image16.jpg</t>
  </si>
  <si>
    <t>4300.00</t>
  </si>
  <si>
    <t>Rainbow Theme Cake</t>
  </si>
  <si>
    <t>BG017</t>
  </si>
  <si>
    <t>images/Birthday_Cakes/image17.jpg</t>
  </si>
  <si>
    <t>BTS Theme Cake</t>
  </si>
  <si>
    <t>BW018</t>
  </si>
  <si>
    <t>images/Birthday_Cakes/image18.jpg</t>
  </si>
  <si>
    <t>Red and White theme Heart Cake</t>
  </si>
  <si>
    <t>BG019</t>
  </si>
  <si>
    <t>images/Birthday_Cakes/image19.jpg</t>
  </si>
  <si>
    <t>21st Birthday Cake</t>
  </si>
  <si>
    <t>BB020</t>
  </si>
  <si>
    <t>images/Birthday_Cakes/image20.jpg</t>
  </si>
  <si>
    <t>3200.00</t>
  </si>
  <si>
    <t>Cartoon Theme Cake</t>
  </si>
  <si>
    <t>Coffee_Cake</t>
  </si>
  <si>
    <t>Order Tracking System - Piece of Cake</t>
  </si>
  <si>
    <t>Admin Table</t>
  </si>
  <si>
    <t>Cart Table</t>
  </si>
  <si>
    <t>Checkout Table</t>
  </si>
  <si>
    <t>Customer Table</t>
  </si>
  <si>
    <t>Customized Orders Table</t>
  </si>
  <si>
    <t>Installments Table</t>
  </si>
  <si>
    <t>Orders Table</t>
  </si>
  <si>
    <t>Products Table</t>
  </si>
  <si>
    <t>Dashboard</t>
  </si>
  <si>
    <t>thilini1226</t>
  </si>
  <si>
    <t>bhagya99@yahoo.com</t>
  </si>
  <si>
    <t>WC001</t>
  </si>
  <si>
    <t>images/Wedding_Cakes/image21.jpg</t>
  </si>
  <si>
    <t>250.00</t>
  </si>
  <si>
    <t>Wedding_Cakes</t>
  </si>
  <si>
    <t>-</t>
  </si>
  <si>
    <t>100g</t>
  </si>
  <si>
    <t>Delicious</t>
  </si>
  <si>
    <t>WC002</t>
  </si>
  <si>
    <t>images/Wedding_Cakes/image22.jpg</t>
  </si>
  <si>
    <t>230.00</t>
  </si>
  <si>
    <t>So tasty</t>
  </si>
  <si>
    <t>WC003</t>
  </si>
  <si>
    <t>images/Wedding_Cakes/image23.jpg</t>
  </si>
  <si>
    <t>210.00</t>
  </si>
  <si>
    <t>WC004</t>
  </si>
  <si>
    <t>images/Wedding_Cakes/image24.jpg</t>
  </si>
  <si>
    <t>260.00</t>
  </si>
  <si>
    <t>CC001</t>
  </si>
  <si>
    <t>images/Celebration_Cakes/image25.jpg</t>
  </si>
  <si>
    <t>2500.00</t>
  </si>
  <si>
    <t>Celebration_Cakes</t>
  </si>
  <si>
    <t>Yummy</t>
  </si>
  <si>
    <t>CC002</t>
  </si>
  <si>
    <t>images/Celebration_Cakes/image26.jpg</t>
  </si>
  <si>
    <t>2600.00</t>
  </si>
  <si>
    <t>WS001</t>
  </si>
  <si>
    <t>images/Wedding_Structures/image27.jpg</t>
  </si>
  <si>
    <t>10000.00</t>
  </si>
  <si>
    <t>Wedding_Structures</t>
  </si>
  <si>
    <t>2.5 kg</t>
  </si>
  <si>
    <t>Beautiful &amp; Tasty</t>
  </si>
  <si>
    <t>WS002</t>
  </si>
  <si>
    <t>images/Wedding_Structures/image28.jpg</t>
  </si>
  <si>
    <t>12000.00</t>
  </si>
  <si>
    <t>WS003</t>
  </si>
  <si>
    <t>images/Wedding_Structures/image29.jpg</t>
  </si>
  <si>
    <t>8000.00</t>
  </si>
  <si>
    <t>2 kg</t>
  </si>
  <si>
    <t>WS004</t>
  </si>
  <si>
    <t>images/Wedding_Structures/image30.jpg</t>
  </si>
  <si>
    <t>15000.00</t>
  </si>
  <si>
    <t>3 kg</t>
  </si>
  <si>
    <t>MC001</t>
  </si>
  <si>
    <t>images/Cup_Cakes/image31.jpg</t>
  </si>
  <si>
    <t>100.00</t>
  </si>
  <si>
    <t>Cup_Cakes</t>
  </si>
  <si>
    <t>MC002</t>
  </si>
  <si>
    <t>images/Cup_Cakes/image32.jpg</t>
  </si>
  <si>
    <t>110.00</t>
  </si>
  <si>
    <t>MC003</t>
  </si>
  <si>
    <t>images/Cup_Cakes/image33.jpg</t>
  </si>
  <si>
    <t>80.00</t>
  </si>
  <si>
    <t>MC004</t>
  </si>
  <si>
    <t>images/Cup_Cakes/image34.jpg</t>
  </si>
  <si>
    <t>140.00</t>
  </si>
  <si>
    <t>MC005</t>
  </si>
  <si>
    <t>images/Cup_Cakes/image35.jpg</t>
  </si>
  <si>
    <t>inventory</t>
  </si>
  <si>
    <t>InventoryID</t>
  </si>
  <si>
    <t>InvName</t>
  </si>
  <si>
    <t>Added_Qty</t>
  </si>
  <si>
    <t>Added_Date</t>
  </si>
  <si>
    <t>Current_Qty</t>
  </si>
  <si>
    <t>Updated_Date</t>
  </si>
  <si>
    <t>Flour</t>
  </si>
  <si>
    <t>10 kg</t>
  </si>
  <si>
    <t>8 kg</t>
  </si>
  <si>
    <t>Sugar</t>
  </si>
  <si>
    <t>5 kg</t>
  </si>
  <si>
    <t>7 kg</t>
  </si>
  <si>
    <t>Eggs</t>
  </si>
  <si>
    <t>100</t>
  </si>
  <si>
    <t>85</t>
  </si>
  <si>
    <t>Cocoa Powder</t>
  </si>
  <si>
    <t>800 g</t>
  </si>
  <si>
    <t>Inventory Table</t>
  </si>
  <si>
    <t>count</t>
  </si>
  <si>
    <t>cake_category</t>
  </si>
  <si>
    <t>25000.00</t>
  </si>
  <si>
    <t>http://127.0.0.1:8000/images/Wedding_Cakes/image2.jpg</t>
  </si>
  <si>
    <t>16000.00</t>
  </si>
  <si>
    <t>http://127.0.0.1:8000/images/Wedding_Cakes/image3.jpg</t>
  </si>
  <si>
    <t>http://127.0.0.1:8000/images/Celebration_Cakes/image1.jpg</t>
  </si>
  <si>
    <t>3000.00</t>
  </si>
  <si>
    <t>http://127.0.0.1:8000/images/Celebration_Cakes/image2.jpg</t>
  </si>
  <si>
    <t>http://127.0.0.1:8000/images/Cup_Cakes/image1.jpg</t>
  </si>
  <si>
    <t>http://127.0.0.1:8000/images/Cup_Cakes/image2.jpg</t>
  </si>
  <si>
    <t>4000.00</t>
  </si>
  <si>
    <t>http://127.0.0.1:8000/images/Cup_Cakes/image3.jpg</t>
  </si>
  <si>
    <t>4400.00</t>
  </si>
  <si>
    <t>http://127.0.0.1:8000/images/Wedding_Structures/image1.jpg</t>
  </si>
  <si>
    <t>http://127.0.0.1:8000/images/Wedding_Structures/image2.jpg</t>
  </si>
  <si>
    <t>18000.00</t>
  </si>
  <si>
    <t>Total_Income</t>
  </si>
  <si>
    <t>Percentage</t>
  </si>
  <si>
    <t>Sales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</si>
</sst>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Rs.-849]\ * #,##0.00_-;\-[$Rs.-849]\ * #,##0.00_-;_-[$Rs.-849]\ * &quot;-&quot;??_-;_-@_-"/>
  </numFmts>
  <fonts count="12" x14ac:knownFonts="1">
    <font>
      <sz val="12"/>
      <color theme="1"/>
      <name val="Times New Roman"/>
      <family val="2"/>
    </font>
    <font>
      <u/>
      <sz val="12"/>
      <color theme="10"/>
      <name val="Times New Roman"/>
      <family val="2"/>
    </font>
    <font>
      <sz val="12"/>
      <color rgb="FF000000"/>
      <name val="Times New Roman"/>
      <family val="1"/>
    </font>
    <font>
      <b/>
      <sz val="12"/>
      <color theme="0"/>
      <name val="Times New Roman"/>
      <family val="2"/>
    </font>
    <font>
      <b/>
      <sz val="12"/>
      <color theme="1"/>
      <name val="Times New Roman"/>
      <family val="1"/>
    </font>
    <font>
      <b/>
      <sz val="36"/>
      <color theme="1"/>
      <name val="VAG Round"/>
      <family val="5"/>
    </font>
    <font>
      <b/>
      <sz val="26"/>
      <color theme="0"/>
      <name val="BalloonDroShaD"/>
      <family val="5"/>
    </font>
    <font>
      <b/>
      <sz val="24"/>
      <color theme="1"/>
      <name val="Times New Roman"/>
      <family val="1"/>
    </font>
    <font>
      <b/>
      <sz val="18"/>
      <color rgb="FF000000"/>
      <name val="Times New Roman"/>
      <family val="1"/>
    </font>
    <font>
      <sz val="12"/>
      <color theme="1"/>
      <name val="Times New Roman"/>
      <family val="2"/>
    </font>
    <font>
      <b/>
      <sz val="22"/>
      <color theme="1"/>
      <name val="Times New Roman"/>
      <family val="1"/>
    </font>
    <font>
      <b/>
      <sz val="12"/>
      <name val="Times New Roman"/>
      <family val="1"/>
    </font>
  </fonts>
  <fills count="12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9"/>
      </patternFill>
    </fill>
    <fill>
      <patternFill patternType="solid">
        <fgColor theme="1"/>
        <bgColor theme="9" tint="0.79998168889431442"/>
      </patternFill>
    </fill>
  </fills>
  <borders count="1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9" fillId="0" borderId="0" applyFont="0" applyFill="0" applyBorder="0" applyAlignment="0" applyProtection="0"/>
  </cellStyleXfs>
  <cellXfs count="49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1" applyNumberFormat="1"/>
    <xf numFmtId="0" fontId="3" fillId="2" borderId="1" xfId="0" applyFont="1" applyFill="1" applyBorder="1"/>
    <xf numFmtId="0" fontId="3" fillId="2" borderId="2" xfId="0" applyFont="1" applyFill="1" applyBorder="1"/>
    <xf numFmtId="0" fontId="0" fillId="3" borderId="1" xfId="0" applyFill="1" applyBorder="1"/>
    <xf numFmtId="0" fontId="0" fillId="0" borderId="1" xfId="0" applyBorder="1"/>
    <xf numFmtId="22" fontId="0" fillId="3" borderId="1" xfId="0" applyNumberFormat="1" applyFill="1" applyBorder="1"/>
    <xf numFmtId="22" fontId="0" fillId="3" borderId="2" xfId="0" applyNumberFormat="1" applyFill="1" applyBorder="1"/>
    <xf numFmtId="22" fontId="0" fillId="0" borderId="1" xfId="0" applyNumberFormat="1" applyBorder="1"/>
    <xf numFmtId="22" fontId="0" fillId="0" borderId="2" xfId="0" applyNumberFormat="1" applyBorder="1"/>
    <xf numFmtId="0" fontId="4" fillId="4" borderId="0" xfId="0" applyFont="1" applyFill="1"/>
    <xf numFmtId="0" fontId="0" fillId="4" borderId="0" xfId="0" applyFill="1"/>
    <xf numFmtId="0" fontId="0" fillId="5" borderId="0" xfId="0" applyFill="1"/>
    <xf numFmtId="0" fontId="5" fillId="5" borderId="0" xfId="0" applyFont="1" applyFill="1" applyAlignment="1">
      <alignment horizontal="center" vertical="center"/>
    </xf>
    <xf numFmtId="0" fontId="0" fillId="6" borderId="0" xfId="0" applyFill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6" borderId="10" xfId="0" applyFill="1" applyBorder="1"/>
    <xf numFmtId="0" fontId="0" fillId="9" borderId="0" xfId="0" applyFill="1"/>
    <xf numFmtId="164" fontId="0" fillId="0" borderId="0" xfId="0" applyNumberFormat="1"/>
    <xf numFmtId="0" fontId="4" fillId="9" borderId="13" xfId="0" applyFont="1" applyFill="1" applyBorder="1"/>
    <xf numFmtId="0" fontId="4" fillId="9" borderId="15" xfId="0" applyFont="1" applyFill="1" applyBorder="1"/>
    <xf numFmtId="0" fontId="4" fillId="9" borderId="16" xfId="0" applyFont="1" applyFill="1" applyBorder="1"/>
    <xf numFmtId="0" fontId="4" fillId="9" borderId="14" xfId="0" applyFont="1" applyFill="1" applyBorder="1"/>
    <xf numFmtId="0" fontId="4" fillId="9" borderId="0" xfId="0" applyFont="1" applyFill="1"/>
    <xf numFmtId="0" fontId="0" fillId="9" borderId="13" xfId="0" applyFill="1" applyBorder="1"/>
    <xf numFmtId="164" fontId="0" fillId="9" borderId="15" xfId="0" applyNumberFormat="1" applyFill="1" applyBorder="1"/>
    <xf numFmtId="0" fontId="0" fillId="9" borderId="16" xfId="0" applyFill="1" applyBorder="1"/>
    <xf numFmtId="164" fontId="0" fillId="9" borderId="13" xfId="0" applyNumberFormat="1" applyFill="1" applyBorder="1"/>
    <xf numFmtId="9" fontId="0" fillId="9" borderId="13" xfId="2" applyFont="1" applyFill="1" applyBorder="1"/>
    <xf numFmtId="9" fontId="0" fillId="9" borderId="0" xfId="2" applyFont="1" applyFill="1"/>
    <xf numFmtId="0" fontId="3" fillId="10" borderId="1" xfId="0" applyFont="1" applyFill="1" applyBorder="1"/>
    <xf numFmtId="0" fontId="0" fillId="11" borderId="1" xfId="0" applyFill="1" applyBorder="1"/>
    <xf numFmtId="0" fontId="0" fillId="9" borderId="1" xfId="0" applyFill="1" applyBorder="1"/>
    <xf numFmtId="164" fontId="11" fillId="9" borderId="13" xfId="0" applyNumberFormat="1" applyFont="1" applyFill="1" applyBorder="1"/>
    <xf numFmtId="0" fontId="6" fillId="6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7" fillId="8" borderId="11" xfId="0" applyFont="1" applyFill="1" applyBorder="1" applyAlignment="1">
      <alignment horizontal="center" vertical="center"/>
    </xf>
    <xf numFmtId="0" fontId="7" fillId="8" borderId="12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10" fillId="0" borderId="0" xfId="0" applyFont="1" applyAlignment="1">
      <alignment horizontal="center" vertical="center"/>
    </xf>
  </cellXfs>
  <cellStyles count="3">
    <cellStyle name="Hyperlink" xfId="1" builtinId="8"/>
    <cellStyle name="Normal" xfId="0" builtinId="0"/>
    <cellStyle name="Percent" xfId="2" builtinId="5"/>
  </cellStyles>
  <dxfs count="137"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166" formatCode="m/d/yyyy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65" formatCode="m/d/yyyy\ h:mm"/>
      <fill>
        <patternFill patternType="none">
          <fgColor indexed="64"/>
          <bgColor indexed="65"/>
        </patternFill>
      </fill>
    </dxf>
    <dxf>
      <numFmt numFmtId="165" formatCode="m/d/yyyy\ h:mm"/>
      <fill>
        <patternFill patternType="none">
          <fgColor indexed="64"/>
          <bgColor indexed="65"/>
        </patternFill>
      </fill>
    </dxf>
    <dxf>
      <numFmt numFmtId="164" formatCode="_-[$Rs.-849]\ * #,##0.00_-;\-[$Rs.-849]\ * #,##0.00_-;_-[$Rs.-849]\ * &quot;-&quot;??_-;_-@_-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m/d/yyyy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6" formatCode="m/d/yyyy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166" formatCode="m/d/yyyy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166" formatCode="m/d/yyyy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166" formatCode="m/d/yyyy"/>
    </dxf>
    <dxf>
      <numFmt numFmtId="0" formatCode="General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DA3FFF"/>
      <color rgb="FFE98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Income by Cake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308-4044-A63C-5D975534C609}"/>
              </c:ext>
            </c:extLst>
          </c:dPt>
          <c:dPt>
            <c:idx val="2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5308-4044-A63C-5D975534C609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308-4044-A63C-5D975534C609}"/>
              </c:ext>
            </c:extLst>
          </c:dPt>
          <c:dPt>
            <c:idx val="4"/>
            <c:invertIfNegative val="0"/>
            <c:bubble3D val="0"/>
            <c:spPr>
              <a:solidFill>
                <a:srgbClr val="DA3FF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5308-4044-A63C-5D975534C609}"/>
              </c:ext>
            </c:extLst>
          </c:dPt>
          <c:cat>
            <c:strRef>
              <c:f>'Sales Dashboard'!$C$5:$C$9</c:f>
              <c:strCache>
                <c:ptCount val="5"/>
                <c:pt idx="0">
                  <c:v>Birthday_Cakes</c:v>
                </c:pt>
                <c:pt idx="1">
                  <c:v>Wedding_Cakes</c:v>
                </c:pt>
                <c:pt idx="2">
                  <c:v>Celebration_Cakes</c:v>
                </c:pt>
                <c:pt idx="3">
                  <c:v>Cup_Cakes</c:v>
                </c:pt>
                <c:pt idx="4">
                  <c:v>Wedding_Structures</c:v>
                </c:pt>
              </c:strCache>
            </c:strRef>
          </c:cat>
          <c:val>
            <c:numRef>
              <c:f>'Sales Dashboard'!$D$5:$D$9</c:f>
              <c:numCache>
                <c:formatCode>_-[$Rs.-849]\ * #,##0.00_-;\-[$Rs.-849]\ * #,##0.00_-;_-[$Rs.-849]\ * "-"??_-;_-@_-</c:formatCode>
                <c:ptCount val="5"/>
                <c:pt idx="0">
                  <c:v>62900</c:v>
                </c:pt>
                <c:pt idx="1">
                  <c:v>56000</c:v>
                </c:pt>
                <c:pt idx="2">
                  <c:v>7500</c:v>
                </c:pt>
                <c:pt idx="3">
                  <c:v>11400</c:v>
                </c:pt>
                <c:pt idx="4">
                  <c:v>33000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08-4044-A63C-5D975534C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6813712"/>
        <c:axId val="915748992"/>
      </c:barChart>
      <c:catAx>
        <c:axId val="193681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748992"/>
        <c:crosses val="autoZero"/>
        <c:auto val="1"/>
        <c:lblAlgn val="ctr"/>
        <c:lblOffset val="100"/>
        <c:noMultiLvlLbl val="0"/>
      </c:catAx>
      <c:valAx>
        <c:axId val="91574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Rs.-849]\ * #,##0.00_-;\-[$Rs.-849]\ * #,##0.00_-;_-[$Rs.-849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6813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Number of Customers by Payment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FB-4475-92CC-7F06D0DB337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FB-4475-92CC-7F06D0DB337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B8B-44C1-8A6E-9262933C7689}"/>
              </c:ext>
            </c:extLst>
          </c:dPt>
          <c:dLbls>
            <c:spPr>
              <a:solidFill>
                <a:srgbClr val="00206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'Sales Dashboard'!$C$21:$C$23</c:f>
              <c:strCache>
                <c:ptCount val="3"/>
                <c:pt idx="0">
                  <c:v>debitCreditCard</c:v>
                </c:pt>
                <c:pt idx="1">
                  <c:v>cashOnDelivery</c:v>
                </c:pt>
                <c:pt idx="2">
                  <c:v>bankDeposit</c:v>
                </c:pt>
              </c:strCache>
            </c:strRef>
          </c:cat>
          <c:val>
            <c:numRef>
              <c:f>'Sales Dashboard'!$E$21:$E$23</c:f>
              <c:numCache>
                <c:formatCode>0%</c:formatCode>
                <c:ptCount val="3"/>
                <c:pt idx="0">
                  <c:v>0.6</c:v>
                </c:pt>
                <c:pt idx="1">
                  <c:v>0.13333333333333333</c:v>
                </c:pt>
                <c:pt idx="2">
                  <c:v>0.26666666666666666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8B-44C1-8A6E-9262933C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Number of Customers by Payment Option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E989F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27D-4473-97EA-7FC9198333C9}"/>
              </c:ext>
            </c:extLst>
          </c:dPt>
          <c:cat>
            <c:strRef>
              <c:f>'Sales Dashboard'!$N$5:$N$6</c:f>
              <c:strCache>
                <c:ptCount val="2"/>
                <c:pt idx="0">
                  <c:v>payFullPayment</c:v>
                </c:pt>
                <c:pt idx="1">
                  <c:v>payAdvance</c:v>
                </c:pt>
              </c:strCache>
            </c:strRef>
          </c:cat>
          <c:val>
            <c:numRef>
              <c:f>'Sales Dashboard'!$P$5:$P$6</c:f>
              <c:numCache>
                <c:formatCode>0%</c:formatCode>
                <c:ptCount val="2"/>
                <c:pt idx="0">
                  <c:v>0.6</c:v>
                </c:pt>
                <c:pt idx="1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7D-4473-97EA-7FC919833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630119776"/>
        <c:axId val="918666912"/>
      </c:barChart>
      <c:catAx>
        <c:axId val="1630119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8666912"/>
        <c:crosses val="autoZero"/>
        <c:auto val="1"/>
        <c:lblAlgn val="ctr"/>
        <c:lblOffset val="100"/>
        <c:noMultiLvlLbl val="0"/>
      </c:catAx>
      <c:valAx>
        <c:axId val="918666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11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312420</xdr:colOff>
      <xdr:row>0</xdr:row>
      <xdr:rowOff>99060</xdr:rowOff>
    </xdr:from>
    <xdr:to>
      <xdr:col>5</xdr:col>
      <xdr:colOff>624840</xdr:colOff>
      <xdr:row>4</xdr:row>
      <xdr:rowOff>68580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94660" y="99060"/>
          <a:ext cx="982980" cy="7620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342899</xdr:colOff>
      <xdr:row>0</xdr:row>
      <xdr:rowOff>114300</xdr:rowOff>
    </xdr:from>
    <xdr:to>
      <xdr:col>5</xdr:col>
      <xdr:colOff>586739</xdr:colOff>
      <xdr:row>4</xdr:row>
      <xdr:rowOff>53340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025139" y="114300"/>
          <a:ext cx="914400" cy="731520"/>
        </a:xfrm>
        <a:prstGeom prst="ellipse">
          <a:avLst/>
        </a:prstGeom>
        <a:blipFill dpi="0"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6</xdr:col>
      <xdr:colOff>243840</xdr:colOff>
      <xdr:row>5</xdr:row>
      <xdr:rowOff>60960</xdr:rowOff>
    </xdr:from>
    <xdr:to>
      <xdr:col>14</xdr:col>
      <xdr:colOff>419580</xdr:colOff>
      <xdr:row>20</xdr:row>
      <xdr:rowOff>30735</xdr:rowOff>
    </xdr:to>
    <xdr:pic>
      <xdr:nvPicPr>
        <xdr:cNvPr id="3" name="Picture 2" descr="A group of cupcakes with frosting and strawberries&#10;&#10;Description automatically generate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051560"/>
          <a:ext cx="5540220" cy="2941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99060</xdr:colOff>
          <xdr:row>10</xdr:row>
          <xdr:rowOff>38100</xdr:rowOff>
        </xdr:from>
        <xdr:to>
          <xdr:col>14</xdr:col>
          <xdr:colOff>350520</xdr:colOff>
          <xdr:row>11</xdr:row>
          <xdr:rowOff>152400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0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Login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91440</xdr:colOff>
          <xdr:row>12</xdr:row>
          <xdr:rowOff>0</xdr:rowOff>
        </xdr:from>
        <xdr:to>
          <xdr:col>14</xdr:col>
          <xdr:colOff>342900</xdr:colOff>
          <xdr:row>13</xdr:row>
          <xdr:rowOff>99060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Exit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8</xdr:row>
          <xdr:rowOff>114300</xdr:rowOff>
        </xdr:from>
        <xdr:to>
          <xdr:col>3</xdr:col>
          <xdr:colOff>213360</xdr:colOff>
          <xdr:row>9</xdr:row>
          <xdr:rowOff>137160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See Customers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8</xdr:row>
          <xdr:rowOff>99060</xdr:rowOff>
        </xdr:from>
        <xdr:to>
          <xdr:col>8</xdr:col>
          <xdr:colOff>358140</xdr:colOff>
          <xdr:row>9</xdr:row>
          <xdr:rowOff>121920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See Pending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167640</xdr:colOff>
          <xdr:row>8</xdr:row>
          <xdr:rowOff>129540</xdr:rowOff>
        </xdr:from>
        <xdr:to>
          <xdr:col>13</xdr:col>
          <xdr:colOff>525780</xdr:colOff>
          <xdr:row>9</xdr:row>
          <xdr:rowOff>144780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See Customized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15</xdr:row>
          <xdr:rowOff>76200</xdr:rowOff>
        </xdr:from>
        <xdr:to>
          <xdr:col>3</xdr:col>
          <xdr:colOff>251460</xdr:colOff>
          <xdr:row>16</xdr:row>
          <xdr:rowOff>91440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2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See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480060</xdr:colOff>
          <xdr:row>15</xdr:row>
          <xdr:rowOff>76200</xdr:rowOff>
        </xdr:from>
        <xdr:to>
          <xdr:col>8</xdr:col>
          <xdr:colOff>190500</xdr:colOff>
          <xdr:row>16</xdr:row>
          <xdr:rowOff>99060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2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See All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15</xdr:row>
          <xdr:rowOff>121920</xdr:rowOff>
        </xdr:from>
        <xdr:to>
          <xdr:col>13</xdr:col>
          <xdr:colOff>304800</xdr:colOff>
          <xdr:row>16</xdr:row>
          <xdr:rowOff>121920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2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See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518160</xdr:colOff>
          <xdr:row>9</xdr:row>
          <xdr:rowOff>7620</xdr:rowOff>
        </xdr:from>
        <xdr:to>
          <xdr:col>18</xdr:col>
          <xdr:colOff>68580</xdr:colOff>
          <xdr:row>12</xdr:row>
          <xdr:rowOff>22860</xdr:rowOff>
        </xdr:to>
        <xdr:sp macro="" textlink="">
          <xdr:nvSpPr>
            <xdr:cNvPr id="21513" name="Button 9" hidden="1">
              <a:extLst>
                <a:ext uri="{63B3BB69-23CF-44E3-9099-C40C66FF867C}">
                  <a14:compatExt spid="_x0000_s21513"/>
                </a:ext>
                <a:ext uri="{FF2B5EF4-FFF2-40B4-BE49-F238E27FC236}">
                  <a16:creationId xmlns:a16="http://schemas.microsoft.com/office/drawing/2014/main" id="{00000000-0008-0000-0200-00000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001" sz="18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Back to 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16</xdr:row>
          <xdr:rowOff>7620</xdr:rowOff>
        </xdr:from>
        <xdr:to>
          <xdr:col>3</xdr:col>
          <xdr:colOff>213360</xdr:colOff>
          <xdr:row>17</xdr:row>
          <xdr:rowOff>106680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5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Add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769620</xdr:colOff>
          <xdr:row>16</xdr:row>
          <xdr:rowOff>15240</xdr:rowOff>
        </xdr:from>
        <xdr:to>
          <xdr:col>4</xdr:col>
          <xdr:colOff>190500</xdr:colOff>
          <xdr:row>17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5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845820</xdr:colOff>
          <xdr:row>16</xdr:row>
          <xdr:rowOff>7620</xdr:rowOff>
        </xdr:from>
        <xdr:to>
          <xdr:col>6</xdr:col>
          <xdr:colOff>289560</xdr:colOff>
          <xdr:row>17</xdr:row>
          <xdr:rowOff>106680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5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883920</xdr:colOff>
          <xdr:row>16</xdr:row>
          <xdr:rowOff>0</xdr:rowOff>
        </xdr:from>
        <xdr:to>
          <xdr:col>6</xdr:col>
          <xdr:colOff>2247900</xdr:colOff>
          <xdr:row>17</xdr:row>
          <xdr:rowOff>99060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5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1524000</xdr:colOff>
          <xdr:row>15</xdr:row>
          <xdr:rowOff>182880</xdr:rowOff>
        </xdr:from>
        <xdr:to>
          <xdr:col>8</xdr:col>
          <xdr:colOff>2887980</xdr:colOff>
          <xdr:row>17</xdr:row>
          <xdr:rowOff>83820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5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16</xdr:row>
          <xdr:rowOff>0</xdr:rowOff>
        </xdr:from>
        <xdr:to>
          <xdr:col>8</xdr:col>
          <xdr:colOff>1043940</xdr:colOff>
          <xdr:row>17</xdr:row>
          <xdr:rowOff>99060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163325C3-95E6-4FB0-9A3A-F0763EA37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3429000</xdr:colOff>
          <xdr:row>27</xdr:row>
          <xdr:rowOff>30480</xdr:rowOff>
        </xdr:from>
        <xdr:to>
          <xdr:col>6</xdr:col>
          <xdr:colOff>388620</xdr:colOff>
          <xdr:row>29</xdr:row>
          <xdr:rowOff>160020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6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Daily Transaction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857250</xdr:colOff>
      <xdr:row>3</xdr:row>
      <xdr:rowOff>41910</xdr:rowOff>
    </xdr:from>
    <xdr:to>
      <xdr:col>10</xdr:col>
      <xdr:colOff>300990</xdr:colOff>
      <xdr:row>17</xdr:row>
      <xdr:rowOff>11430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171450</xdr:colOff>
      <xdr:row>3</xdr:row>
      <xdr:rowOff>11430</xdr:rowOff>
    </xdr:from>
    <xdr:to>
      <xdr:col>17</xdr:col>
      <xdr:colOff>419100</xdr:colOff>
      <xdr:row>17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605790</xdr:colOff>
      <xdr:row>20</xdr:row>
      <xdr:rowOff>15240</xdr:rowOff>
    </xdr:from>
    <xdr:to>
      <xdr:col>13</xdr:col>
      <xdr:colOff>922020</xdr:colOff>
      <xdr:row>31</xdr:row>
      <xdr:rowOff>148590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73455553-4B15-4FA0-8F4A-A5773AEE9B16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scription" tableColumnId="2"/>
      <queryTableField id="3" name="Kind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6DB43F1-FDA1-45FA-B0E9-FE7030B570DF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AdminName" tableColumnId="2"/>
      <queryTableField id="3" name="AdminRole" tableColumnId="3"/>
      <queryTableField id="4" name="Email" tableColumnId="4"/>
      <queryTableField id="5" name="Password" tableColumnId="5"/>
      <queryTableField id="6" name="ContactNo" tableColumnId="6"/>
      <queryTableField id="7" name="created_at" tableColumnId="7"/>
      <queryTableField id="8" name="updated_at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7F4D8B75-0762-4939-85B3-3FBC26D088B3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order_id" tableColumnId="2"/>
      <queryTableField id="3" name="image_path" tableColumnId="3"/>
      <queryTableField id="4" name="price" tableColumnId="4"/>
      <queryTableField id="5" name="quantity" tableColumnId="5"/>
      <queryTableField id="6" name="weight" tableColumnId="6"/>
      <queryTableField id="7" name="order_date" tableColumnId="7"/>
      <queryTableField id="8" name="delivery" tableColumnId="8"/>
      <queryTableField id="9" name="total_price" tableColumnId="9"/>
      <queryTableField id="10" name="created_at" tableColumnId="10"/>
      <queryTableField id="11" name="updated_at" tableColumnId="11"/>
      <queryTableField id="12" name="cake_category" tableColumnId="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7E6AA4A6-C1F1-4B6B-B207-1A9D49D2C3A0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order_id" tableColumnId="2"/>
      <queryTableField id="3" name="email" tableColumnId="3"/>
      <queryTableField id="4" name="contact_no" tableColumnId="4"/>
      <queryTableField id="5" name="street_address" tableColumnId="5"/>
      <queryTableField id="6" name="city" tableColumnId="6"/>
      <queryTableField id="7" name="payment_method" tableColumnId="7"/>
      <queryTableField id="8" name="payment_option" tableColumnId="8"/>
      <queryTableField id="9" name="delivery_note" tableColumnId="9"/>
      <queryTableField id="10" name="created_at" tableColumnId="10"/>
      <queryTableField id="11" name="updated_at" tableColumnId="1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8" xr16:uid="{BDE54FA6-2D46-43AF-A855-628D9C7B18BB}" autoFormatId="16" applyNumberFormats="0" applyBorderFormats="0" applyFontFormats="0" applyPatternFormats="0" applyAlignmentFormats="0" applyWidthHeightFormats="0">
  <queryTableRefresh nextId="8">
    <queryTableFields count="7">
      <queryTableField id="1" name="CustomerID" tableColumnId="1"/>
      <queryTableField id="2" name="UserName" tableColumnId="2"/>
      <queryTableField id="3" name="Email" tableColumnId="3"/>
      <queryTableField id="4" name="Password" tableColumnId="4"/>
      <queryTableField id="5" name="Image" tableColumnId="5"/>
      <queryTableField id="6" name="created_at" tableColumnId="6"/>
      <queryTableField id="7" name="updated_at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0" xr16:uid="{76395341-00C3-4558-87CF-9628A6E6188E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order_id" tableColumnId="2"/>
      <queryTableField id="3" name="next_payment_date" tableColumnId="3"/>
      <queryTableField id="4" name="due_amount" tableColumnId="4"/>
      <queryTableField id="5" name="pay_amount" tableColumnId="5"/>
      <queryTableField id="6" name="remaining_amount" tableColumnId="6"/>
      <queryTableField id="7" name="created_at" tableColumnId="7"/>
      <queryTableField id="8" name="updated_at" tableColumnId="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4" xr16:uid="{5AF8B2B2-0B04-42B5-B900-1B5AA94E2188}" autoFormatId="16" applyNumberFormats="0" applyBorderFormats="0" applyFontFormats="0" applyPatternFormats="0" applyAlignmentFormats="0" applyWidthHeightFormats="0">
  <queryTableRefresh nextId="18">
    <queryTableFields count="17">
      <queryTableField id="1" name="OrderID" tableColumnId="1"/>
      <queryTableField id="2" name="ProductID" tableColumnId="2"/>
      <queryTableField id="3" name="Cake_Name" tableColumnId="3"/>
      <queryTableField id="4" name="Price" tableColumnId="4"/>
      <queryTableField id="5" name="Cake_Type" tableColumnId="5"/>
      <queryTableField id="6" name="Icing_Type" tableColumnId="6"/>
      <queryTableField id="7" name="Input_Cake_Weight" tableColumnId="7"/>
      <queryTableField id="8" name="Input_Cake_Type" tableColumnId="8"/>
      <queryTableField id="9" name="Message_on_cake" tableColumnId="9"/>
      <queryTableField id="10" name="PaymentStatus" tableColumnId="10"/>
      <queryTableField id="11" name="DeliveryStatus" tableColumnId="11"/>
      <queryTableField id="12" name="created_at" tableColumnId="12"/>
      <queryTableField id="13" name="updated_at" tableColumnId="13"/>
      <queryTableField id="14" name="customer_id" tableColumnId="14"/>
      <queryTableField id="15" name="Reviews" tableColumnId="15"/>
      <queryTableField id="16" name="Feedbacks" tableColumnId="16"/>
      <queryTableField id="17" name="Rating" tableColumnId="1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7" xr16:uid="{5ACE3E0E-61B0-4774-93A8-CA38AB7DF06B}" autoFormatId="16" applyNumberFormats="0" applyBorderFormats="0" applyFontFormats="0" applyPatternFormats="0" applyAlignmentFormats="0" applyWidthHeightFormats="0">
  <queryTableRefresh nextId="15">
    <queryTableFields count="14">
      <queryTableField id="1" name="id" tableColumnId="1"/>
      <queryTableField id="2" name="ProductID" tableColumnId="2"/>
      <queryTableField id="3" name="image" tableColumnId="3"/>
      <queryTableField id="4" name="price" tableColumnId="4"/>
      <queryTableField id="5" name="category" tableColumnId="5"/>
      <queryTableField id="6" name="item_name" tableColumnId="6"/>
      <queryTableField id="7" name="item_weight" tableColumnId="7"/>
      <queryTableField id="8" name="cake_type" tableColumnId="8"/>
      <queryTableField id="9" name="icing_type" tableColumnId="9"/>
      <queryTableField id="10" name="rating" tableColumnId="10"/>
      <queryTableField id="11" name="feedbacks" tableColumnId="11"/>
      <queryTableField id="12" name="data_category" tableColumnId="12"/>
      <queryTableField id="13" name="created_at" tableColumnId="13"/>
      <queryTableField id="14" name="updated_at" tableColumnId="14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2" xr16:uid="{EE61FF87-8BED-4A9F-8569-773757C34AA8}" autoFormatId="16" applyNumberFormats="0" applyBorderFormats="0" applyFontFormats="0" applyPatternFormats="0" applyAlignmentFormats="0" applyWidthHeightFormats="0">
  <queryTableRefresh nextId="7">
    <queryTableFields count="6">
      <queryTableField id="1" name="InventoryID" tableColumnId="1"/>
      <queryTableField id="2" name="InvName" tableColumnId="2"/>
      <queryTableField id="3" name="Added_Qty" tableColumnId="3"/>
      <queryTableField id="4" name="Added_Date" tableColumnId="4"/>
      <queryTableField id="5" name="Current_Qty" tableColumnId="5"/>
      <queryTableField id="6" name="Updated_Date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B72AC0C-1B1A-4BB8-9ABC-197A32311F56}" autoFormatId="16" applyNumberFormats="0" applyBorderFormats="0" applyFontFormats="0" applyPatternFormats="0" applyAlignmentFormats="0" applyWidthHeightFormats="0">
  <queryTableRefresh nextId="7">
    <queryTableFields count="6">
      <queryTableField id="1" name="InventoryID" tableColumnId="1"/>
      <queryTableField id="2" name="InvName" tableColumnId="2"/>
      <queryTableField id="3" name="Added_Qty" tableColumnId="3"/>
      <queryTableField id="4" name="Added_Date" tableColumnId="4"/>
      <queryTableField id="5" name="Current_Qty" tableColumnId="5"/>
      <queryTableField id="6" name="Updated_Date" tableColumnId="6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383CC02A-F066-4EF4-9B79-4CC03C1986E1}" autoFormatId="16" applyNumberFormats="0" applyBorderFormats="0" applyFontFormats="0" applyPatternFormats="0" applyAlignmentFormats="0" applyWidthHeightFormats="0">
  <queryTableRefresh nextId="14">
    <queryTableFields count="11">
      <queryTableField id="1" name="CustomerID" tableColumnId="1"/>
      <queryTableField id="2" name="FirstName" tableColumnId="2"/>
      <queryTableField id="3" name="LastName" tableColumnId="3"/>
      <queryTableField id="4" name="Email" tableColumnId="4"/>
      <queryTableField id="5" name="ContactNo" tableColumnId="5"/>
      <queryTableField id="6" name="UserName" tableColumnId="6"/>
      <queryTableField id="7" name="Address" tableColumnId="7"/>
      <queryTableField id="8" name="Gender" tableColumnId="8"/>
      <queryTableField id="9" name="Password" tableColumnId="9"/>
      <queryTableField id="12" name="created_at" tableColumnId="10"/>
      <queryTableField id="11" name="updated_at" tableColumnId="11"/>
    </queryTableFields>
    <queryTableDeletedFields count="1">
      <deletedField name="created_at"/>
    </queryTableDeleted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F06AD0D0-EAC8-485D-B2DA-EC8BFDE20F33}" autoFormatId="16" applyNumberFormats="0" applyBorderFormats="0" applyFontFormats="0" applyPatternFormats="0" applyAlignmentFormats="0" applyWidthHeightFormats="0">
  <queryTableRefresh nextId="13">
    <queryTableFields count="12">
      <queryTableField id="1" name="id" tableColumnId="1"/>
      <queryTableField id="2" name="order_id" tableColumnId="2"/>
      <queryTableField id="3" name="image_path" tableColumnId="3"/>
      <queryTableField id="4" name="price" tableColumnId="4"/>
      <queryTableField id="5" name="quantity" tableColumnId="5"/>
      <queryTableField id="6" name="weight" tableColumnId="6"/>
      <queryTableField id="7" name="order_date" tableColumnId="7"/>
      <queryTableField id="8" name="delivery" tableColumnId="8"/>
      <queryTableField id="9" name="total_price" tableColumnId="9"/>
      <queryTableField id="10" name="created_at" tableColumnId="10"/>
      <queryTableField id="11" name="updated_at" tableColumnId="11"/>
      <queryTableField id="12" name="cake_category" tableColumnId="1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E47341A-085B-4BF6-829B-F3E724605A4F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order_id" tableColumnId="2"/>
      <queryTableField id="3" name="email" tableColumnId="3"/>
      <queryTableField id="4" name="contact_no" tableColumnId="4"/>
      <queryTableField id="5" name="street_address" tableColumnId="5"/>
      <queryTableField id="6" name="city" tableColumnId="6"/>
      <queryTableField id="7" name="payment_method" tableColumnId="7"/>
      <queryTableField id="8" name="payment_option" tableColumnId="8"/>
      <queryTableField id="9" name="delivery_note" tableColumnId="9"/>
      <queryTableField id="10" name="created_at" tableColumnId="10"/>
      <queryTableField id="11" name="updated_at" tableColumnId="1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16E21BD1-3621-4F48-B144-2AD64FDC637D}" autoFormatId="16" applyNumberFormats="0" applyBorderFormats="0" applyFontFormats="0" applyPatternFormats="0" applyAlignmentFormats="0" applyWidthHeightFormats="0">
  <queryTableRefresh nextId="8">
    <queryTableFields count="7">
      <queryTableField id="1" name="CustomerID" tableColumnId="1"/>
      <queryTableField id="2" name="UserName" tableColumnId="2"/>
      <queryTableField id="3" name="Email" tableColumnId="3"/>
      <queryTableField id="4" name="Password" tableColumnId="4"/>
      <queryTableField id="5" name="Image" tableColumnId="5"/>
      <queryTableField id="6" name="created_at" tableColumnId="6"/>
      <queryTableField id="7" name="updated_at" tableColumnId="7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8AE50BAE-7158-44B1-919B-20C61BF89A06}" autoFormatId="16" applyNumberFormats="0" applyBorderFormats="0" applyFontFormats="0" applyPatternFormats="0" applyAlignmentFormats="0" applyWidthHeightFormats="0">
  <queryTableRefresh nextId="9">
    <queryTableFields count="8">
      <queryTableField id="1" name="id" tableColumnId="1"/>
      <queryTableField id="2" name="order_id" tableColumnId="2"/>
      <queryTableField id="3" name="next_payment_date" tableColumnId="3"/>
      <queryTableField id="4" name="due_amount" tableColumnId="4"/>
      <queryTableField id="5" name="pay_amount" tableColumnId="5"/>
      <queryTableField id="6" name="remaining_amount" tableColumnId="6"/>
      <queryTableField id="7" name="created_at" tableColumnId="7"/>
      <queryTableField id="8" name="updated_at" tableColumnId="8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" xr16:uid="{EA7EF01B-5B69-47E4-BEDD-6FB915888486}" autoFormatId="16" applyNumberFormats="0" applyBorderFormats="0" applyFontFormats="0" applyPatternFormats="0" applyAlignmentFormats="0" applyWidthHeightFormats="0">
  <queryTableRefresh nextId="19">
    <queryTableFields count="17">
      <queryTableField id="1" name="OrderID" tableColumnId="1"/>
      <queryTableField id="2" name="ProductID" tableColumnId="2"/>
      <queryTableField id="3" name="Cake_Name" tableColumnId="3"/>
      <queryTableField id="4" name="Price" tableColumnId="4"/>
      <queryTableField id="5" name="Cake_Type" tableColumnId="5"/>
      <queryTableField id="6" name="Icing_Type" tableColumnId="6"/>
      <queryTableField id="7" name="Input_Cake_Weight" tableColumnId="7"/>
      <queryTableField id="8" name="Input_Cake_Type" tableColumnId="8"/>
      <queryTableField id="9" name="Message_on_cake" tableColumnId="9"/>
      <queryTableField id="10" name="PaymentStatus" tableColumnId="10"/>
      <queryTableField id="11" name="DeliveryStatus" tableColumnId="11"/>
      <queryTableField id="12" name="created_at" tableColumnId="12"/>
      <queryTableField id="13" name="updated_at" tableColumnId="13"/>
      <queryTableField id="15" name="Reviews" tableColumnId="15"/>
      <queryTableField id="16" name="Feedbacks" tableColumnId="16"/>
      <queryTableField id="17" name="Rating" tableColumnId="17"/>
      <queryTableField id="18" name="cake_category" tableColumnId="1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76520C7E-4D9D-4C67-B0A0-C69912B1648D}" autoFormatId="16" applyNumberFormats="0" applyBorderFormats="0" applyFontFormats="0" applyPatternFormats="0" applyAlignmentFormats="0" applyWidthHeightFormats="0">
  <queryTableRefresh nextId="15">
    <queryTableFields count="14">
      <queryTableField id="1" name="id" tableColumnId="1"/>
      <queryTableField id="2" name="ProductID" tableColumnId="2"/>
      <queryTableField id="3" name="image" tableColumnId="3"/>
      <queryTableField id="4" name="price" tableColumnId="4"/>
      <queryTableField id="5" name="category" tableColumnId="5"/>
      <queryTableField id="6" name="item_name" tableColumnId="6"/>
      <queryTableField id="7" name="item_weight" tableColumnId="7"/>
      <queryTableField id="8" name="cake_type" tableColumnId="8"/>
      <queryTableField id="9" name="icing_type" tableColumnId="9"/>
      <queryTableField id="10" name="rating" tableColumnId="10"/>
      <queryTableField id="11" name="feedbacks" tableColumnId="11"/>
      <queryTableField id="12" name="data_category" tableColumnId="12"/>
      <queryTableField id="13" name="created_at" tableColumnId="13"/>
      <queryTableField id="14" name="updated_at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7402A-CC99-4CAF-A000-6F8F6BB64EC2}" name="piece_of_cake1" displayName="piece_of_cake1" ref="A1:C16" tableType="queryTable" totalsRowShown="0">
  <autoFilter ref="A1:C16" xr:uid="{8507402A-CC99-4CAF-A000-6F8F6BB64EC2}"/>
  <tableColumns count="3">
    <tableColumn id="1" xr3:uid="{4116EB31-A436-4155-BC42-73EF0565FDFC}" uniqueName="1" name="Name" queryTableFieldId="1" dataDxfId="136"/>
    <tableColumn id="2" xr3:uid="{38DCDC8B-11AD-47F1-B30E-EDFD07481253}" uniqueName="2" name="Description" queryTableFieldId="2" dataDxfId="135"/>
    <tableColumn id="3" xr3:uid="{BA1136F0-097C-49B9-BDB8-07CEEDF02221}" uniqueName="3" name="Kind" queryTableFieldId="3" dataDxfId="13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945FE8F-F61B-47E7-A1A5-F7CD09496C56}" name="admin" displayName="admin" ref="A2:H4" tableType="queryTable" totalsRowShown="0">
  <autoFilter ref="A2:H4" xr:uid="{B945FE8F-F61B-47E7-A1A5-F7CD09496C56}"/>
  <tableColumns count="8">
    <tableColumn id="1" xr3:uid="{829F8149-0C97-4558-BCB7-972D627A3B11}" uniqueName="1" name="id" queryTableFieldId="1"/>
    <tableColumn id="2" xr3:uid="{85FAB33B-2C2F-4C14-BD50-0DE5A532CF26}" uniqueName="2" name="AdminName" queryTableFieldId="2" dataDxfId="133"/>
    <tableColumn id="3" xr3:uid="{D72C6275-B384-4009-A6E7-C63003FDBAAA}" uniqueName="3" name="AdminRole" queryTableFieldId="3" dataDxfId="132"/>
    <tableColumn id="4" xr3:uid="{D72E1A16-E963-412F-A85C-2CF4CC65E673}" uniqueName="4" name="Email" queryTableFieldId="4" dataDxfId="131"/>
    <tableColumn id="5" xr3:uid="{20D5C189-354A-4948-B26A-484AF90E3834}" uniqueName="5" name="Password" queryTableFieldId="5" dataDxfId="130"/>
    <tableColumn id="6" xr3:uid="{020A37D1-30EB-43A7-93F6-6D58E9D41DAC}" uniqueName="6" name="ContactNo" queryTableFieldId="6"/>
    <tableColumn id="7" xr3:uid="{70F3762A-454E-45B6-912F-123F9CEDA2D7}" uniqueName="7" name="created_at" queryTableFieldId="7" dataDxfId="129"/>
    <tableColumn id="8" xr3:uid="{21734926-AD52-47F8-A9E2-19E7E4940BA8}" uniqueName="8" name="updated_at" queryTableFieldId="8" dataDxfId="12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3234111-CECE-4E4F-A63D-27FC4CE07490}" name="cart11" displayName="cart11" ref="K2:V26" tableType="queryTable" totalsRowShown="0">
  <autoFilter ref="K2:V26" xr:uid="{43234111-CECE-4E4F-A63D-27FC4CE07490}"/>
  <tableColumns count="12">
    <tableColumn id="1" xr3:uid="{D01E0473-2BA8-4D6A-BB65-4C417F1894EF}" uniqueName="1" name="id" queryTableFieldId="1"/>
    <tableColumn id="2" xr3:uid="{EF11044A-C8F1-408E-8B4F-D7542739080A}" uniqueName="2" name="order_id" queryTableFieldId="2"/>
    <tableColumn id="3" xr3:uid="{C2470E5E-9DA8-4517-9339-8CE33C58ED5A}" uniqueName="3" name="image_path" queryTableFieldId="3" dataDxfId="127"/>
    <tableColumn id="4" xr3:uid="{48EB1454-7CBC-4C76-98E6-01ADDBE90AFF}" uniqueName="4" name="price" queryTableFieldId="4"/>
    <tableColumn id="5" xr3:uid="{C0F8A553-C48B-4A4E-BC06-13B86F7EAB32}" uniqueName="5" name="quantity" queryTableFieldId="5"/>
    <tableColumn id="6" xr3:uid="{1F9FAA5B-5880-46D5-AC20-DF850BC9DEC4}" uniqueName="6" name="weight" queryTableFieldId="6" dataDxfId="126"/>
    <tableColumn id="7" xr3:uid="{B7ACD617-00E7-4693-9993-EE7159511442}" uniqueName="7" name="order_date" queryTableFieldId="7" dataDxfId="125"/>
    <tableColumn id="8" xr3:uid="{F2113A4E-1AF9-47C1-9318-AA00D6BEF03E}" uniqueName="8" name="delivery" queryTableFieldId="8"/>
    <tableColumn id="9" xr3:uid="{B975D6DF-A79A-4C22-BD1A-F21377EF2CDA}" uniqueName="9" name="total_price" queryTableFieldId="9" dataDxfId="124"/>
    <tableColumn id="10" xr3:uid="{29ECC85B-CFAA-494F-8CBA-7C79B7629930}" uniqueName="10" name="created_at" queryTableFieldId="10" dataDxfId="123"/>
    <tableColumn id="11" xr3:uid="{0D8409B7-C572-45E6-A82A-79AAA9C04844}" uniqueName="11" name="updated_at" queryTableFieldId="11" dataDxfId="122"/>
    <tableColumn id="12" xr3:uid="{BF9AE145-D517-4D51-9AB0-D176514F35F5}" uniqueName="12" name="cake_category" queryTableFieldId="12" dataDxfId="12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C17439A-420A-4B65-A41A-B222B4E312B7}" name="checkout12" displayName="checkout12" ref="Y2:AI17" tableType="queryTable" totalsRowShown="0">
  <autoFilter ref="Y2:AI17" xr:uid="{AC17439A-420A-4B65-A41A-B222B4E312B7}"/>
  <tableColumns count="11">
    <tableColumn id="1" xr3:uid="{4B9F3851-29E2-4D62-A392-9A5976265754}" uniqueName="1" name="id" queryTableFieldId="1"/>
    <tableColumn id="2" xr3:uid="{7CCBEC28-46FC-4BEB-9E91-89056B673EB2}" uniqueName="2" name="order_id" queryTableFieldId="2"/>
    <tableColumn id="3" xr3:uid="{DD66011B-A56A-4AC1-9BAC-57DD08CAD7A2}" uniqueName="3" name="email" queryTableFieldId="3" dataDxfId="120"/>
    <tableColumn id="4" xr3:uid="{A509BAB3-6F99-4594-8F4D-7DE17760D5D6}" uniqueName="4" name="contact_no" queryTableFieldId="4" dataDxfId="119"/>
    <tableColumn id="5" xr3:uid="{B052517E-8CD5-476C-9C95-84843CE206E5}" uniqueName="5" name="street_address" queryTableFieldId="5" dataDxfId="118"/>
    <tableColumn id="6" xr3:uid="{A821916E-44FB-40AE-866A-4225D54DBE79}" uniqueName="6" name="city" queryTableFieldId="6" dataDxfId="117"/>
    <tableColumn id="7" xr3:uid="{99894176-6650-414E-868F-16CF82AF9596}" uniqueName="7" name="payment_method" queryTableFieldId="7" dataDxfId="116"/>
    <tableColumn id="8" xr3:uid="{D663E8EF-4754-4432-A7E8-CA83F50D7A1D}" uniqueName="8" name="payment_option" queryTableFieldId="8" dataDxfId="115"/>
    <tableColumn id="9" xr3:uid="{7247E207-6D30-4C92-869E-582134B45C0A}" uniqueName="9" name="delivery_note" queryTableFieldId="9" dataDxfId="114"/>
    <tableColumn id="10" xr3:uid="{D6C9244C-B81B-43D0-A004-E8EF346B353A}" uniqueName="10" name="created_at" queryTableFieldId="10" dataDxfId="113"/>
    <tableColumn id="11" xr3:uid="{85D75A2C-7E47-455C-8020-67CDAFAD4E3A}" uniqueName="11" name="updated_at" queryTableFieldId="11" dataDxfId="11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86AF7BE-40FC-4D55-99A8-8DEBA9A924B9}" name="customized_orders14" displayName="customized_orders14" ref="AU2:BA13" tableType="queryTable" totalsRowShown="0">
  <autoFilter ref="AU2:BA13" xr:uid="{786AF7BE-40FC-4D55-99A8-8DEBA9A924B9}"/>
  <tableColumns count="7">
    <tableColumn id="1" xr3:uid="{7DAA9766-8CD9-4FA0-AC46-DC2617F9AD3E}" uniqueName="1" name="CustomerID" queryTableFieldId="1"/>
    <tableColumn id="2" xr3:uid="{27DCBEEB-D372-4303-84A4-683A56F08A8E}" uniqueName="2" name="UserName" queryTableFieldId="2" dataDxfId="111"/>
    <tableColumn id="3" xr3:uid="{32E005C5-D90F-4CD5-84D6-D41681F0BAC0}" uniqueName="3" name="Email" queryTableFieldId="3" dataDxfId="110"/>
    <tableColumn id="4" xr3:uid="{29C3BF62-CC18-4556-806A-2D7B3003B46D}" uniqueName="4" name="Password" queryTableFieldId="4" dataDxfId="109"/>
    <tableColumn id="5" xr3:uid="{AFA2B52E-6E30-4A9F-9572-AB69760C4E0D}" uniqueName="5" name="Image" queryTableFieldId="5" dataDxfId="108"/>
    <tableColumn id="6" xr3:uid="{626C7328-486D-4E10-A5C0-41D007D34987}" uniqueName="6" name="created_at" queryTableFieldId="6" dataDxfId="107"/>
    <tableColumn id="7" xr3:uid="{27557B1A-1D7E-4886-A853-DDDB1053A308}" uniqueName="7" name="updated_at" queryTableFieldId="7" dataDxfId="10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D883809-C2C2-4F4F-9967-98C35472BDB0}" name="installments15" displayName="installments15" ref="BD2:BK8" tableType="queryTable" totalsRowShown="0">
  <autoFilter ref="BD2:BK8" xr:uid="{3D883809-C2C2-4F4F-9967-98C35472BDB0}"/>
  <tableColumns count="8">
    <tableColumn id="1" xr3:uid="{07B27FE9-7A00-4698-B7FB-34EADF1EFFC3}" uniqueName="1" name="id" queryTableFieldId="1"/>
    <tableColumn id="2" xr3:uid="{BE79E429-5CB4-42F4-9CEE-87179994DF9D}" uniqueName="2" name="order_id" queryTableFieldId="2"/>
    <tableColumn id="3" xr3:uid="{C58754A1-DAE7-4C68-9831-572224E0A064}" uniqueName="3" name="next_payment_date" queryTableFieldId="3" dataDxfId="105"/>
    <tableColumn id="4" xr3:uid="{555B4D36-BD18-4AE8-A931-3B79ACDCB75F}" uniqueName="4" name="due_amount" queryTableFieldId="4" dataDxfId="104"/>
    <tableColumn id="5" xr3:uid="{D0311773-5D90-45C4-89D6-8496730B14CC}" uniqueName="5" name="pay_amount" queryTableFieldId="5"/>
    <tableColumn id="6" xr3:uid="{D59E7569-73BE-44E6-A0D7-FF60B4CA5FC3}" uniqueName="6" name="remaining_amount" queryTableFieldId="6"/>
    <tableColumn id="7" xr3:uid="{3ACC5B4A-6307-44B2-A436-76BB87E9BC64}" uniqueName="7" name="created_at" queryTableFieldId="7" dataDxfId="103"/>
    <tableColumn id="8" xr3:uid="{EA325334-BBD9-4ECA-9973-AC22DE5CD762}" uniqueName="8" name="updated_at" queryTableFieldId="8" dataDxfId="10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38E04D0-488B-4E20-B7CD-6DA94E3EB934}" name="orders16" displayName="orders16" ref="BN2:CD18" tableType="queryTable" totalsRowShown="0">
  <autoFilter ref="BN2:CD18" xr:uid="{B38E04D0-488B-4E20-B7CD-6DA94E3EB934}"/>
  <tableColumns count="17">
    <tableColumn id="1" xr3:uid="{C90C2700-A331-413B-8C57-92526C4583A3}" uniqueName="1" name="OrderID" queryTableFieldId="1"/>
    <tableColumn id="2" xr3:uid="{9D966671-CEA5-4A35-B517-DAE402E2D471}" uniqueName="2" name="ProductID" queryTableFieldId="2" dataDxfId="101"/>
    <tableColumn id="3" xr3:uid="{74837DBF-6786-4C36-B640-C0B266A0C80E}" uniqueName="3" name="Cake_Name" queryTableFieldId="3" dataDxfId="100"/>
    <tableColumn id="4" xr3:uid="{4BFB52E7-37AA-4452-AB7A-B71774EC57F2}" uniqueName="4" name="Price" queryTableFieldId="4"/>
    <tableColumn id="5" xr3:uid="{14FCC237-A82F-42BC-9D33-31B8705D3CF2}" uniqueName="5" name="Cake_Type" queryTableFieldId="5" dataDxfId="99"/>
    <tableColumn id="6" xr3:uid="{50F70CA4-F766-42F4-84E4-3F49A5DC8DE6}" uniqueName="6" name="Icing_Type" queryTableFieldId="6" dataDxfId="98"/>
    <tableColumn id="7" xr3:uid="{86DD2B43-6515-46F1-BB29-20A9C01455F8}" uniqueName="7" name="Input_Cake_Weight" queryTableFieldId="7" dataDxfId="97"/>
    <tableColumn id="8" xr3:uid="{EE2C2DEF-1BBE-4C0D-A067-B426D462902C}" uniqueName="8" name="Input_Cake_Type" queryTableFieldId="8" dataDxfId="96"/>
    <tableColumn id="9" xr3:uid="{678C0841-A9C4-49E6-9619-A39FB4DC5301}" uniqueName="9" name="Message_on_cake" queryTableFieldId="9" dataDxfId="95"/>
    <tableColumn id="10" xr3:uid="{179E39B2-E7F8-4914-A46A-3020869FF7FE}" uniqueName="10" name="PaymentStatus" queryTableFieldId="10" dataDxfId="94"/>
    <tableColumn id="11" xr3:uid="{50CDE44D-597C-4900-8CAC-3DF194D67216}" uniqueName="11" name="DeliveryStatus" queryTableFieldId="11" dataDxfId="93"/>
    <tableColumn id="12" xr3:uid="{F44C7199-B5D3-48CB-A962-268F6EABD4E0}" uniqueName="12" name="created_at" queryTableFieldId="12" dataDxfId="92"/>
    <tableColumn id="13" xr3:uid="{4C5CAD08-6F0D-47D6-A119-79DCF2122143}" uniqueName="13" name="updated_at" queryTableFieldId="13" dataDxfId="91"/>
    <tableColumn id="14" xr3:uid="{D3EF9408-3856-41A6-A96B-0321E2101CAB}" uniqueName="14" name="customer_id" queryTableFieldId="14"/>
    <tableColumn id="15" xr3:uid="{9E5743AA-2A47-46B3-98D7-BBDF72CC0FF2}" uniqueName="15" name="Reviews" queryTableFieldId="15" dataDxfId="90"/>
    <tableColumn id="16" xr3:uid="{04E367C5-2BEB-4BD5-8F94-4459175A9669}" uniqueName="16" name="Feedbacks" queryTableFieldId="16" dataDxfId="89"/>
    <tableColumn id="17" xr3:uid="{409265E2-BFC3-4C00-974E-503F5EBCA5FD}" uniqueName="17" name="Rating" queryTableFieldId="1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79F6DF1-6580-4544-B93E-0AE698B2C4D9}" name="products17" displayName="products17" ref="CG2:CT37" tableType="queryTable" totalsRowShown="0">
  <autoFilter ref="CG2:CT37" xr:uid="{379F6DF1-6580-4544-B93E-0AE698B2C4D9}"/>
  <tableColumns count="14">
    <tableColumn id="1" xr3:uid="{2E26ECB9-E1E0-4375-913D-CEB66687407D}" uniqueName="1" name="id" queryTableFieldId="1"/>
    <tableColumn id="2" xr3:uid="{B9E9C5A4-75E8-4185-8378-E82BBBF8454D}" uniqueName="2" name="ProductID" queryTableFieldId="2" dataDxfId="88"/>
    <tableColumn id="3" xr3:uid="{73FBA8D5-3FEF-4FB5-9487-C218DE742C5C}" uniqueName="3" name="image" queryTableFieldId="3" dataDxfId="87"/>
    <tableColumn id="4" xr3:uid="{199E3ABC-EA8E-4073-BF89-CBEDCD8415CE}" uniqueName="4" name="price" queryTableFieldId="4" dataDxfId="86"/>
    <tableColumn id="5" xr3:uid="{ABF017AC-4CF0-462D-8538-C7CE96D2DDD9}" uniqueName="5" name="category" queryTableFieldId="5" dataDxfId="85"/>
    <tableColumn id="6" xr3:uid="{49511249-BB5B-4F34-85EC-27B8AA944E53}" uniqueName="6" name="item_name" queryTableFieldId="6" dataDxfId="84"/>
    <tableColumn id="7" xr3:uid="{78D92080-1FC0-4CF2-A4E0-3FF5238D370A}" uniqueName="7" name="item_weight" queryTableFieldId="7" dataDxfId="83"/>
    <tableColumn id="8" xr3:uid="{CFBD31A4-6B89-4F93-8572-9AD7ED50DBE5}" uniqueName="8" name="cake_type" queryTableFieldId="8" dataDxfId="82"/>
    <tableColumn id="9" xr3:uid="{78C0DB8E-BFF5-47B3-B436-F8DF4288DFEE}" uniqueName="9" name="icing_type" queryTableFieldId="9" dataDxfId="81"/>
    <tableColumn id="10" xr3:uid="{8CC5ABDD-2013-43CA-8574-0AE9BE1C6D3B}" uniqueName="10" name="rating" queryTableFieldId="10"/>
    <tableColumn id="11" xr3:uid="{3112C236-25E7-4748-86F0-EC714919DAE4}" uniqueName="11" name="feedbacks" queryTableFieldId="11" dataDxfId="80"/>
    <tableColumn id="12" xr3:uid="{6B61BB7D-603F-4B1F-9F04-E3FC6E4B9389}" uniqueName="12" name="data_category" queryTableFieldId="12" dataDxfId="79"/>
    <tableColumn id="13" xr3:uid="{E0E8A890-C9F6-4B2E-AC1E-E1E98A6BD339}" uniqueName="13" name="created_at" queryTableFieldId="13" dataDxfId="78"/>
    <tableColumn id="14" xr3:uid="{706FCF2F-2969-4419-81D9-79702D9AF409}" uniqueName="14" name="updated_at" queryTableFieldId="14" dataDxfId="7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52C591C-6630-4DF9-B8AC-F4FC4B55F564}" name="inventory18" displayName="inventory18" ref="CW2:DB7" tableType="queryTable" totalsRowShown="0">
  <autoFilter ref="CW2:DB7" xr:uid="{F52C591C-6630-4DF9-B8AC-F4FC4B55F564}"/>
  <tableColumns count="6">
    <tableColumn id="1" xr3:uid="{3375B2AF-6BA7-42E6-8819-8596EF6BBB09}" uniqueName="1" name="InventoryID" queryTableFieldId="1"/>
    <tableColumn id="2" xr3:uid="{2036A088-3446-4F8D-BF00-AD1BF137105F}" uniqueName="2" name="InvName" queryTableFieldId="2" dataDxfId="76"/>
    <tableColumn id="3" xr3:uid="{5C51516F-F925-4066-8139-34DE67685AC5}" uniqueName="3" name="Added_Qty" queryTableFieldId="3" dataDxfId="75"/>
    <tableColumn id="4" xr3:uid="{4701E786-A65D-465B-AF39-04C93410D9FF}" uniqueName="4" name="Added_Date" queryTableFieldId="4" dataDxfId="74"/>
    <tableColumn id="5" xr3:uid="{3A3B5DA6-96B0-4A68-986F-9A41A22CCE14}" uniqueName="5" name="Current_Qty" queryTableFieldId="5" dataDxfId="73"/>
    <tableColumn id="6" xr3:uid="{6CFA0F8B-DC3B-4896-A4FE-66E3C8C7FAD0}" uniqueName="6" name="Updated_Date" queryTableFieldId="6" dataDxfId="7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6D0DB66-14AA-409C-BAB1-EBD9050281E9}" name="inventory" displayName="inventory" ref="A1:F6" tableType="queryTable" totalsRowShown="0">
  <autoFilter ref="A1:F6" xr:uid="{56D0DB66-14AA-409C-BAB1-EBD9050281E9}"/>
  <tableColumns count="6">
    <tableColumn id="1" xr3:uid="{23BBDCA9-DB60-45D7-9F80-9B67226698E9}" uniqueName="1" name="InventoryID" queryTableFieldId="1"/>
    <tableColumn id="2" xr3:uid="{811E4D28-BEE0-4F95-8479-347C1FB08CA1}" uniqueName="2" name="InvName" queryTableFieldId="2" dataDxfId="71"/>
    <tableColumn id="3" xr3:uid="{093D9150-1F12-4822-92D9-3F87A1479806}" uniqueName="3" name="Added_Qty" queryTableFieldId="3" dataDxfId="70"/>
    <tableColumn id="4" xr3:uid="{C163D67F-5827-4632-AFD3-50F413470714}" uniqueName="4" name="Added_Date" queryTableFieldId="4" dataDxfId="69"/>
    <tableColumn id="5" xr3:uid="{0E924E3D-FAC5-43BA-A5A5-5D68E4BD2D63}" uniqueName="5" name="Current_Qty" queryTableFieldId="5" dataDxfId="68"/>
    <tableColumn id="6" xr3:uid="{D92F3713-BD22-4B2C-8228-549598BE3E88}" uniqueName="6" name="Updated_Date" queryTableFieldId="6" dataDxfId="6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4304AA-10D6-4864-9971-9E5ED8188552}" name="customer" displayName="customer" ref="A1:K13" tableType="queryTable" totalsRowShown="0">
  <autoFilter ref="A1:K13" xr:uid="{F34304AA-10D6-4864-9971-9E5ED8188552}"/>
  <tableColumns count="11">
    <tableColumn id="1" xr3:uid="{C15331B4-13F5-4316-9AF0-F235586EFDE5}" uniqueName="1" name="CustomerID" queryTableFieldId="1"/>
    <tableColumn id="2" xr3:uid="{2F1961F8-E1EB-428F-9E79-FBE2AC7109EC}" uniqueName="2" name="FirstName" queryTableFieldId="2" dataDxfId="66"/>
    <tableColumn id="3" xr3:uid="{8424A6A2-BC38-4CA7-B398-6FA41B9B83AB}" uniqueName="3" name="LastName" queryTableFieldId="3" dataDxfId="65"/>
    <tableColumn id="4" xr3:uid="{53B07F62-1EE2-44D9-8846-B26ADDDFE883}" uniqueName="4" name="Email" queryTableFieldId="4" dataDxfId="64"/>
    <tableColumn id="5" xr3:uid="{9CEFF07B-B4AE-4639-937A-EA698A771895}" uniqueName="5" name="ContactNo" queryTableFieldId="5" dataDxfId="63"/>
    <tableColumn id="6" xr3:uid="{7BBD244E-C2FE-4AC4-86A3-5CC9B6BDA845}" uniqueName="6" name="UserName" queryTableFieldId="6" dataDxfId="62"/>
    <tableColumn id="7" xr3:uid="{B22BD7A2-0A7A-44F7-8F5A-E869D1A1EFC9}" uniqueName="7" name="Address" queryTableFieldId="7" dataDxfId="61"/>
    <tableColumn id="8" xr3:uid="{2FBD8707-CE6E-4277-8331-44ABFDA6FA96}" uniqueName="8" name="Gender" queryTableFieldId="8" dataDxfId="60"/>
    <tableColumn id="9" xr3:uid="{8639BE39-FB40-4640-B758-74BF70FD79EC}" uniqueName="9" name="Password" queryTableFieldId="9" dataDxfId="59"/>
    <tableColumn id="10" xr3:uid="{6AE04DBE-AF5C-437A-BEC2-FC0317D792B2}" uniqueName="10" name="created_at" queryTableFieldId="12" dataDxfId="58"/>
    <tableColumn id="11" xr3:uid="{10128449-313F-4320-A0B9-9900180B1BCF}" uniqueName="11" name="updated_at" queryTableFieldId="11" dataDxfId="5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F2A762-943D-4D07-80BC-76422D668BD1}" name="cart" displayName="cart" ref="A1:L25" tableType="queryTable" totalsRowShown="0">
  <autoFilter ref="A1:L25" xr:uid="{F1F2A762-943D-4D07-80BC-76422D668BD1}"/>
  <tableColumns count="12">
    <tableColumn id="1" xr3:uid="{7DD728EE-871B-4301-A8B5-DAC7AD660DBD}" uniqueName="1" name="id" queryTableFieldId="1" dataDxfId="56"/>
    <tableColumn id="2" xr3:uid="{2A5F5032-1844-44FF-89DB-EDCB621DEC0E}" uniqueName="2" name="order_id" queryTableFieldId="2" dataDxfId="55"/>
    <tableColumn id="3" xr3:uid="{80AB16F1-A137-4902-931F-3F5CE5C3AA5C}" uniqueName="3" name="image_path" queryTableFieldId="3" dataDxfId="54"/>
    <tableColumn id="4" xr3:uid="{7CA3B413-D04F-49E6-8696-A853DC815452}" uniqueName="4" name="price" queryTableFieldId="4" dataDxfId="53"/>
    <tableColumn id="5" xr3:uid="{78869D51-95C5-4A8E-B628-B99B45A7BF4D}" uniqueName="5" name="quantity" queryTableFieldId="5" dataDxfId="52"/>
    <tableColumn id="6" xr3:uid="{34B97874-98E3-478A-9BF3-0FC8B10E265F}" uniqueName="6" name="weight" queryTableFieldId="6" dataDxfId="51"/>
    <tableColumn id="7" xr3:uid="{F45D9528-07DC-4D4F-B0E8-ED3CFF410E9E}" uniqueName="7" name="order_date" queryTableFieldId="7" dataDxfId="50"/>
    <tableColumn id="8" xr3:uid="{9FE102F2-BA55-42B1-B779-290237EA471C}" uniqueName="8" name="delivery" queryTableFieldId="8" dataDxfId="49"/>
    <tableColumn id="9" xr3:uid="{8AF39C25-C302-4BB2-8A82-D3E01FE050A1}" uniqueName="9" name="total_price" queryTableFieldId="9" dataDxfId="48"/>
    <tableColumn id="10" xr3:uid="{77879566-EE64-42AC-9D4A-60BA7291C3B0}" uniqueName="10" name="created_at" queryTableFieldId="10" dataDxfId="47"/>
    <tableColumn id="11" xr3:uid="{9891275C-BFD7-4BD8-8DF3-FEA8B5906582}" uniqueName="11" name="updated_at" queryTableFieldId="11" dataDxfId="46"/>
    <tableColumn id="12" xr3:uid="{A3711677-5362-4A6D-A220-38E0D693E02E}" uniqueName="12" name="cake_category" queryTableFieldId="12" dataDxfId="45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392352-82D8-4F5A-86BE-CA9918497BD3}" name="checkout" displayName="checkout" ref="A1:K16" tableType="queryTable" totalsRowShown="0">
  <autoFilter ref="A1:K16" xr:uid="{D1392352-82D8-4F5A-86BE-CA9918497BD3}"/>
  <tableColumns count="11">
    <tableColumn id="1" xr3:uid="{7A0EFA44-8784-4BFA-A4EB-E779BBCEEEC2}" uniqueName="1" name="id" queryTableFieldId="1"/>
    <tableColumn id="2" xr3:uid="{F3538B2D-7056-4A18-B923-0FF7E8C7B413}" uniqueName="2" name="order_id" queryTableFieldId="2"/>
    <tableColumn id="3" xr3:uid="{265C4B54-93B8-49DE-9377-AC6115017C92}" uniqueName="3" name="email" queryTableFieldId="3" dataDxfId="44"/>
    <tableColumn id="4" xr3:uid="{992AF49A-B486-4672-BE99-5C6D71ABC8D4}" uniqueName="4" name="contact_no" queryTableFieldId="4" dataDxfId="43"/>
    <tableColumn id="5" xr3:uid="{CE3DD740-2FC7-4F76-BA9D-EC8F71BE6F84}" uniqueName="5" name="street_address" queryTableFieldId="5" dataDxfId="42"/>
    <tableColumn id="6" xr3:uid="{E98A5850-5120-4B42-B3A9-35B47BEC74D3}" uniqueName="6" name="city" queryTableFieldId="6" dataDxfId="41"/>
    <tableColumn id="7" xr3:uid="{A7354364-F8FB-4223-8E40-F6BBAD62D596}" uniqueName="7" name="payment_method" queryTableFieldId="7" dataDxfId="40"/>
    <tableColumn id="8" xr3:uid="{A22054EA-101D-4A54-A429-EA14615CAA85}" uniqueName="8" name="payment_option" queryTableFieldId="8" dataDxfId="39"/>
    <tableColumn id="9" xr3:uid="{E83775F3-51AC-49B5-8D7B-A8A48798909F}" uniqueName="9" name="delivery_note" queryTableFieldId="9" dataDxfId="38"/>
    <tableColumn id="10" xr3:uid="{543B33E1-89D7-4029-B96E-0856E3396871}" uniqueName="10" name="created_at" queryTableFieldId="10" dataDxfId="37"/>
    <tableColumn id="11" xr3:uid="{A4CF940B-3483-4B8E-9108-AE1481D306E6}" uniqueName="11" name="updated_at" queryTableFieldId="11" dataDxfId="3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F9E1D04-74D5-4CFA-9C9C-EC13665531DA}" name="customized_orders" displayName="customized_orders" ref="A1:G12" tableType="queryTable" totalsRowShown="0">
  <autoFilter ref="A1:G12" xr:uid="{4F9E1D04-74D5-4CFA-9C9C-EC13665531DA}"/>
  <tableColumns count="7">
    <tableColumn id="1" xr3:uid="{013BE3CC-BE5A-4F62-A012-3F2E607C8BDC}" uniqueName="1" name="CustomerID" queryTableFieldId="1"/>
    <tableColumn id="2" xr3:uid="{19AD28BC-5567-4058-B64A-6BA90E50D150}" uniqueName="2" name="UserName" queryTableFieldId="2" dataDxfId="35"/>
    <tableColumn id="3" xr3:uid="{CE942F3F-4CA7-498E-BE5E-B5976E8F93DC}" uniqueName="3" name="Email" queryTableFieldId="3" dataDxfId="34"/>
    <tableColumn id="4" xr3:uid="{48D1FC0A-93C9-4917-9312-7BF488ADD62C}" uniqueName="4" name="Password" queryTableFieldId="4" dataDxfId="33"/>
    <tableColumn id="5" xr3:uid="{8D4BE104-31C5-4AB9-9C58-F768AE0EA79A}" uniqueName="5" name="Image" queryTableFieldId="5" dataDxfId="32"/>
    <tableColumn id="6" xr3:uid="{EC98770E-B989-4536-B01E-47055537E818}" uniqueName="6" name="created_at" queryTableFieldId="6" dataDxfId="31"/>
    <tableColumn id="7" xr3:uid="{AFCFDBF5-03E4-410C-865C-7CC85FC95855}" uniqueName="7" name="updated_at" queryTableFieldId="7" dataDxfId="30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8BFABCA-A1A8-4137-9A0E-04A067144D87}" name="installments" displayName="installments" ref="A1:H7" tableType="queryTable" totalsRowShown="0">
  <autoFilter ref="A1:H7" xr:uid="{78BFABCA-A1A8-4137-9A0E-04A067144D87}"/>
  <tableColumns count="8">
    <tableColumn id="1" xr3:uid="{0F8AFBAF-2EFB-4DB5-B6D1-682F03CBF6F4}" uniqueName="1" name="id" queryTableFieldId="1"/>
    <tableColumn id="2" xr3:uid="{57DA9781-EA5E-4332-A26F-CB9637B17FC1}" uniqueName="2" name="order_id" queryTableFieldId="2"/>
    <tableColumn id="3" xr3:uid="{4479D0ED-CFF8-4514-8081-5EABD27C9CB8}" uniqueName="3" name="next_payment_date" queryTableFieldId="3" dataDxfId="29"/>
    <tableColumn id="4" xr3:uid="{FBFAA0F6-2D69-4036-83E7-C3772CDB90FD}" uniqueName="4" name="due_amount" queryTableFieldId="4" dataDxfId="28"/>
    <tableColumn id="5" xr3:uid="{940450C5-159D-4BD5-AAA1-8334BA68DD91}" uniqueName="5" name="pay_amount" queryTableFieldId="5"/>
    <tableColumn id="6" xr3:uid="{71E6ABA2-5E05-4311-9907-1E54633F7D64}" uniqueName="6" name="remaining_amount" queryTableFieldId="6"/>
    <tableColumn id="7" xr3:uid="{5BC68C7A-8C55-4E47-98D5-5E90F89C7C1D}" uniqueName="7" name="created_at" queryTableFieldId="7" dataDxfId="27"/>
    <tableColumn id="8" xr3:uid="{F47BF6C4-EAE3-4D18-9DC6-0593D56A4E24}" uniqueName="8" name="updated_at" queryTableFieldId="8" dataDxfId="2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291B06D-15D3-4FD2-B58E-87EDB73ED7AB}" name="orders" displayName="orders" ref="A1:Q17" tableType="queryTable" totalsRowShown="0">
  <autoFilter ref="A1:Q17" xr:uid="{C291B06D-15D3-4FD2-B58E-87EDB73ED7AB}"/>
  <tableColumns count="17">
    <tableColumn id="1" xr3:uid="{F2A28979-0224-4D60-92D5-6AC571FC65C1}" uniqueName="1" name="OrderID" queryTableFieldId="1"/>
    <tableColumn id="2" xr3:uid="{3E7F1C99-A00E-4015-9AB0-0ECE92BF8E0A}" uniqueName="2" name="ProductID" queryTableFieldId="2" dataDxfId="25"/>
    <tableColumn id="3" xr3:uid="{8A7A8163-4E72-4AFD-A25F-525DBBCCE712}" uniqueName="3" name="Cake_Name" queryTableFieldId="3" dataDxfId="24"/>
    <tableColumn id="4" xr3:uid="{11D2E018-F7F9-4298-9324-C0F5440029E8}" uniqueName="4" name="Price" queryTableFieldId="4"/>
    <tableColumn id="5" xr3:uid="{7FFCF1BC-860E-4A2A-85D1-3A81A68424D5}" uniqueName="5" name="Cake_Type" queryTableFieldId="5" dataDxfId="23"/>
    <tableColumn id="6" xr3:uid="{3487F945-CFFA-4082-81CC-2AF033C99C96}" uniqueName="6" name="Icing_Type" queryTableFieldId="6" dataDxfId="22"/>
    <tableColumn id="7" xr3:uid="{50EA3199-AF8F-4FBF-B7B0-336B19871118}" uniqueName="7" name="Input_Cake_Weight" queryTableFieldId="7" dataDxfId="21"/>
    <tableColumn id="8" xr3:uid="{F917FB14-B767-402B-BDF6-F9486014E46C}" uniqueName="8" name="Input_Cake_Type" queryTableFieldId="8" dataDxfId="20"/>
    <tableColumn id="9" xr3:uid="{98C16DEB-10A3-4A40-B237-FC2444FDF0A3}" uniqueName="9" name="Message_on_cake" queryTableFieldId="9" dataDxfId="19"/>
    <tableColumn id="10" xr3:uid="{AB444521-423A-46DB-B519-B0B628A143AA}" uniqueName="10" name="PaymentStatus" queryTableFieldId="10" dataDxfId="18"/>
    <tableColumn id="11" xr3:uid="{BD8AFE28-4D01-46B5-B98B-AF38EB46C50D}" uniqueName="11" name="DeliveryStatus" queryTableFieldId="11" dataDxfId="17"/>
    <tableColumn id="12" xr3:uid="{986733C3-25B9-4600-9FBB-2FD7F87A72CC}" uniqueName="12" name="created_at" queryTableFieldId="12" dataDxfId="16"/>
    <tableColumn id="13" xr3:uid="{BF94CF7D-E8F6-4049-BE90-7539636E1A24}" uniqueName="13" name="updated_at" queryTableFieldId="13" dataDxfId="15"/>
    <tableColumn id="15" xr3:uid="{6C9E0EA5-6FB5-4F2B-A408-B302EF1A9D10}" uniqueName="15" name="Reviews" queryTableFieldId="15" dataDxfId="14"/>
    <tableColumn id="16" xr3:uid="{8D07804C-FE48-4E0E-9531-DF49FDA4381C}" uniqueName="16" name="Feedbacks" queryTableFieldId="16" dataDxfId="13"/>
    <tableColumn id="17" xr3:uid="{1FEBD311-934A-4395-94F2-3D2D01DD5D2C}" uniqueName="17" name="Rating" queryTableFieldId="17"/>
    <tableColumn id="14" xr3:uid="{9141D5A4-BE70-4F12-ADA9-B2C4C2034DC9}" uniqueName="14" name="cake_category" queryTableFieldId="18" dataDxfId="12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0744C1-7D3B-4315-B36E-391D59EA9B57}" name="products" displayName="products" ref="A1:N36" tableType="queryTable" totalsRowShown="0">
  <autoFilter ref="A1:N36" xr:uid="{970744C1-7D3B-4315-B36E-391D59EA9B57}"/>
  <tableColumns count="14">
    <tableColumn id="1" xr3:uid="{CDEA78A5-CFAB-46AA-BC78-6E5C442A2917}" uniqueName="1" name="id" queryTableFieldId="1"/>
    <tableColumn id="2" xr3:uid="{D53A619B-F5E9-4DEA-B0F1-B9E5B361E64B}" uniqueName="2" name="ProductID" queryTableFieldId="2" dataDxfId="11"/>
    <tableColumn id="3" xr3:uid="{8E65D195-4161-4044-AA9B-93FEF8E12C27}" uniqueName="3" name="image" queryTableFieldId="3" dataDxfId="10"/>
    <tableColumn id="4" xr3:uid="{310C1855-DAB9-426E-ACC4-4C6D0F0DA1D1}" uniqueName="4" name="price" queryTableFieldId="4" dataDxfId="9"/>
    <tableColumn id="5" xr3:uid="{306C8DFC-60DF-46FD-88A1-5F8EBE589B2F}" uniqueName="5" name="category" queryTableFieldId="5" dataDxfId="8"/>
    <tableColumn id="6" xr3:uid="{4795642D-465E-4E75-A740-81D98D25A2E9}" uniqueName="6" name="item_name" queryTableFieldId="6" dataDxfId="7"/>
    <tableColumn id="7" xr3:uid="{99E3C913-DE15-466F-9CE2-B9A379BF37B7}" uniqueName="7" name="item_weight" queryTableFieldId="7" dataDxfId="6"/>
    <tableColumn id="8" xr3:uid="{08F98B3A-8FFD-4124-9603-3DD3B7A9F4A2}" uniqueName="8" name="cake_type" queryTableFieldId="8" dataDxfId="5"/>
    <tableColumn id="9" xr3:uid="{A4DE0496-74B3-4A95-93D5-88B2B52B1CEF}" uniqueName="9" name="icing_type" queryTableFieldId="9" dataDxfId="4"/>
    <tableColumn id="10" xr3:uid="{E763392A-346D-4551-860D-6BE70CC38221}" uniqueName="10" name="rating" queryTableFieldId="10"/>
    <tableColumn id="11" xr3:uid="{E09CDE6D-7239-40BF-8DC3-247D69A1EF5E}" uniqueName="11" name="feedbacks" queryTableFieldId="11" dataDxfId="3"/>
    <tableColumn id="12" xr3:uid="{022F4D5A-59B8-4F47-84F3-AED3C854438F}" uniqueName="12" name="data_category" queryTableFieldId="12" dataDxfId="2"/>
    <tableColumn id="13" xr3:uid="{13632BB2-8862-4C7B-976C-F7D2AE01AF2D}" uniqueName="13" name="created_at" queryTableFieldId="13" dataDxfId="1"/>
    <tableColumn id="14" xr3:uid="{E5A73C9E-2C12-4848-96A0-F469AB200051}" uniqueName="14" name="updated_at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A07DC-365F-42CC-AEFE-0BAEC51832FF}">
  <sheetPr codeName="Sheet1"/>
  <dimension ref="G1:O4"/>
  <sheetViews>
    <sheetView tabSelected="1" workbookViewId="0">
      <selection activeCell="P14" sqref="P14"/>
    </sheetView>
  </sheetViews>
  <sheetFormatPr defaultRowHeight="15.6" x14ac:dyDescent="0.3"/>
  <cols>
    <col min="1" max="16384" width="8.796875" style="16"/>
  </cols>
  <sheetData>
    <row r="1" spans="7:15" ht="15.6" customHeight="1" x14ac:dyDescent="0.3">
      <c r="G1" s="42" t="s">
        <v>288</v>
      </c>
      <c r="H1" s="42"/>
      <c r="I1" s="42"/>
      <c r="J1" s="42"/>
      <c r="K1" s="42"/>
      <c r="L1" s="42"/>
      <c r="M1" s="42"/>
      <c r="N1" s="42"/>
      <c r="O1" s="42"/>
    </row>
    <row r="2" spans="7:15" ht="15.6" customHeight="1" x14ac:dyDescent="0.3">
      <c r="G2" s="42"/>
      <c r="H2" s="42"/>
      <c r="I2" s="42"/>
      <c r="J2" s="42"/>
      <c r="K2" s="42"/>
      <c r="L2" s="42"/>
      <c r="M2" s="42"/>
      <c r="N2" s="42"/>
      <c r="O2" s="42"/>
    </row>
    <row r="3" spans="7:15" ht="15.6" customHeight="1" x14ac:dyDescent="0.3">
      <c r="G3" s="42"/>
      <c r="H3" s="42"/>
      <c r="I3" s="42"/>
      <c r="J3" s="42"/>
      <c r="K3" s="42"/>
      <c r="L3" s="42"/>
      <c r="M3" s="42"/>
      <c r="N3" s="42"/>
      <c r="O3" s="42"/>
    </row>
    <row r="4" spans="7:15" ht="15.6" customHeight="1" x14ac:dyDescent="0.3">
      <c r="G4" s="42"/>
      <c r="H4" s="42"/>
      <c r="I4" s="42"/>
      <c r="J4" s="42"/>
      <c r="K4" s="42"/>
      <c r="L4" s="42"/>
      <c r="M4" s="42"/>
      <c r="N4" s="42"/>
      <c r="O4" s="42"/>
    </row>
  </sheetData>
  <mergeCells count="1">
    <mergeCell ref="G1: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Login">
                <anchor moveWithCells="1" sizeWithCells="1">
                  <from>
                    <xdr:col>13</xdr:col>
                    <xdr:colOff>99060</xdr:colOff>
                    <xdr:row>10</xdr:row>
                    <xdr:rowOff>38100</xdr:rowOff>
                  </from>
                  <to>
                    <xdr:col>14</xdr:col>
                    <xdr:colOff>350520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oseWorkbook">
                <anchor moveWithCells="1" sizeWithCells="1">
                  <from>
                    <xdr:col>13</xdr:col>
                    <xdr:colOff>91440</xdr:colOff>
                    <xdr:row>12</xdr:row>
                    <xdr:rowOff>0</xdr:rowOff>
                  </from>
                  <to>
                    <xdr:col>14</xdr:col>
                    <xdr:colOff>342900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D1ED7-E1E8-4A84-9AA0-C7C306A753CD}">
  <sheetPr codeName="Sheet2"/>
  <dimension ref="A1:C16"/>
  <sheetViews>
    <sheetView workbookViewId="0">
      <selection activeCell="E16" sqref="E16"/>
    </sheetView>
  </sheetViews>
  <sheetFormatPr defaultRowHeight="15.6" x14ac:dyDescent="0.3"/>
  <cols>
    <col min="1" max="1" width="20.09765625" bestFit="1" customWidth="1"/>
    <col min="2" max="2" width="12.5" bestFit="1" customWidth="1"/>
    <col min="3" max="3" width="6.79687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3</v>
      </c>
      <c r="B2" t="s">
        <v>4</v>
      </c>
      <c r="C2" t="s">
        <v>5</v>
      </c>
    </row>
    <row r="3" spans="1:3" x14ac:dyDescent="0.3">
      <c r="A3" t="s">
        <v>6</v>
      </c>
      <c r="B3" t="s">
        <v>4</v>
      </c>
      <c r="C3" t="s">
        <v>5</v>
      </c>
    </row>
    <row r="4" spans="1:3" x14ac:dyDescent="0.3">
      <c r="A4" t="s">
        <v>7</v>
      </c>
      <c r="B4" t="s">
        <v>4</v>
      </c>
      <c r="C4" t="s">
        <v>5</v>
      </c>
    </row>
    <row r="5" spans="1:3" x14ac:dyDescent="0.3">
      <c r="A5" t="s">
        <v>8</v>
      </c>
      <c r="B5" t="s">
        <v>4</v>
      </c>
      <c r="C5" t="s">
        <v>5</v>
      </c>
    </row>
    <row r="6" spans="1:3" x14ac:dyDescent="0.3">
      <c r="A6" t="s">
        <v>9</v>
      </c>
      <c r="B6" t="s">
        <v>4</v>
      </c>
      <c r="C6" t="s">
        <v>5</v>
      </c>
    </row>
    <row r="7" spans="1:3" x14ac:dyDescent="0.3">
      <c r="A7" t="s">
        <v>10</v>
      </c>
      <c r="B7" t="s">
        <v>4</v>
      </c>
      <c r="C7" t="s">
        <v>5</v>
      </c>
    </row>
    <row r="8" spans="1:3" x14ac:dyDescent="0.3">
      <c r="A8" t="s">
        <v>11</v>
      </c>
      <c r="B8" t="s">
        <v>4</v>
      </c>
      <c r="C8" t="s">
        <v>5</v>
      </c>
    </row>
    <row r="9" spans="1:3" x14ac:dyDescent="0.3">
      <c r="A9" t="s">
        <v>12</v>
      </c>
      <c r="B9" t="s">
        <v>4</v>
      </c>
      <c r="C9" t="s">
        <v>5</v>
      </c>
    </row>
    <row r="10" spans="1:3" x14ac:dyDescent="0.3">
      <c r="A10" t="s">
        <v>357</v>
      </c>
      <c r="B10" t="s">
        <v>4</v>
      </c>
      <c r="C10" t="s">
        <v>5</v>
      </c>
    </row>
    <row r="11" spans="1:3" x14ac:dyDescent="0.3">
      <c r="A11" t="s">
        <v>13</v>
      </c>
      <c r="B11" t="s">
        <v>4</v>
      </c>
      <c r="C11" t="s">
        <v>5</v>
      </c>
    </row>
    <row r="12" spans="1:3" x14ac:dyDescent="0.3">
      <c r="A12" t="s">
        <v>14</v>
      </c>
      <c r="B12" t="s">
        <v>4</v>
      </c>
      <c r="C12" t="s">
        <v>5</v>
      </c>
    </row>
    <row r="13" spans="1:3" x14ac:dyDescent="0.3">
      <c r="A13" t="s">
        <v>15</v>
      </c>
      <c r="B13" t="s">
        <v>4</v>
      </c>
      <c r="C13" t="s">
        <v>5</v>
      </c>
    </row>
    <row r="14" spans="1:3" x14ac:dyDescent="0.3">
      <c r="A14" t="s">
        <v>16</v>
      </c>
      <c r="B14" t="s">
        <v>4</v>
      </c>
      <c r="C14" t="s">
        <v>5</v>
      </c>
    </row>
    <row r="15" spans="1:3" x14ac:dyDescent="0.3">
      <c r="A15" t="s">
        <v>17</v>
      </c>
      <c r="B15" t="s">
        <v>4</v>
      </c>
      <c r="C15" t="s">
        <v>5</v>
      </c>
    </row>
    <row r="16" spans="1:3" x14ac:dyDescent="0.3">
      <c r="A16" t="s">
        <v>18</v>
      </c>
      <c r="B16" t="s">
        <v>4</v>
      </c>
      <c r="C16" t="s">
        <v>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CD64E-B572-4FC7-B010-292A4E5BF239}">
  <sheetPr codeName="Sheet11"/>
  <dimension ref="B2:N17"/>
  <sheetViews>
    <sheetView zoomScaleNormal="100" workbookViewId="0">
      <selection activeCell="K19" sqref="K19"/>
    </sheetView>
  </sheetViews>
  <sheetFormatPr defaultRowHeight="15.6" x14ac:dyDescent="0.3"/>
  <cols>
    <col min="1" max="16384" width="8.796875" style="14"/>
  </cols>
  <sheetData>
    <row r="2" spans="2:14" ht="15.6" customHeight="1" x14ac:dyDescent="0.3">
      <c r="G2" s="43" t="s">
        <v>297</v>
      </c>
      <c r="H2" s="43"/>
      <c r="I2" s="43"/>
      <c r="J2" s="43"/>
    </row>
    <row r="3" spans="2:14" ht="15.6" customHeight="1" x14ac:dyDescent="0.3">
      <c r="G3" s="43"/>
      <c r="H3" s="43"/>
      <c r="I3" s="43"/>
      <c r="J3" s="43"/>
    </row>
    <row r="4" spans="2:14" ht="15.6" customHeight="1" x14ac:dyDescent="0.3">
      <c r="G4" s="43"/>
      <c r="H4" s="43"/>
      <c r="I4" s="43"/>
      <c r="J4" s="43"/>
    </row>
    <row r="5" spans="2:14" ht="21" customHeight="1" x14ac:dyDescent="0.3">
      <c r="I5" s="15"/>
      <c r="J5" s="15"/>
      <c r="K5" s="15"/>
      <c r="L5" s="15"/>
    </row>
    <row r="6" spans="2:14" x14ac:dyDescent="0.3">
      <c r="B6" s="17"/>
      <c r="C6" s="18"/>
      <c r="D6" s="19"/>
      <c r="G6" s="17"/>
      <c r="H6" s="18"/>
      <c r="I6" s="19"/>
      <c r="L6" s="17"/>
      <c r="M6" s="18"/>
      <c r="N6" s="19"/>
    </row>
    <row r="7" spans="2:14" x14ac:dyDescent="0.3">
      <c r="B7" s="20"/>
      <c r="C7" s="44">
        <v>12</v>
      </c>
      <c r="D7" s="21"/>
      <c r="G7" s="20"/>
      <c r="H7" s="44">
        <v>11</v>
      </c>
      <c r="I7" s="21"/>
      <c r="L7" s="20"/>
      <c r="M7" s="44">
        <v>11</v>
      </c>
      <c r="N7" s="21"/>
    </row>
    <row r="8" spans="2:14" x14ac:dyDescent="0.3">
      <c r="B8" s="20"/>
      <c r="C8" s="45"/>
      <c r="D8" s="21"/>
      <c r="G8" s="20"/>
      <c r="H8" s="45"/>
      <c r="I8" s="21"/>
      <c r="L8" s="20"/>
      <c r="M8" s="45"/>
      <c r="N8" s="21"/>
    </row>
    <row r="9" spans="2:14" x14ac:dyDescent="0.3">
      <c r="B9" s="20"/>
      <c r="C9" s="16"/>
      <c r="D9" s="21"/>
      <c r="G9" s="20"/>
      <c r="H9" s="16"/>
      <c r="I9" s="21"/>
      <c r="L9" s="20"/>
      <c r="M9" s="16"/>
      <c r="N9" s="21"/>
    </row>
    <row r="10" spans="2:14" x14ac:dyDescent="0.3">
      <c r="B10" s="22"/>
      <c r="C10" s="23"/>
      <c r="D10" s="24"/>
      <c r="G10" s="22"/>
      <c r="H10" s="23"/>
      <c r="I10" s="24"/>
      <c r="L10" s="22"/>
      <c r="M10" s="23"/>
      <c r="N10" s="24"/>
    </row>
    <row r="11" spans="2:14" ht="15.6" customHeight="1" x14ac:dyDescent="0.3"/>
    <row r="12" spans="2:14" ht="15.6" customHeight="1" x14ac:dyDescent="0.3"/>
    <row r="13" spans="2:14" ht="15.6" customHeight="1" x14ac:dyDescent="0.3">
      <c r="B13" s="17"/>
      <c r="C13" s="18"/>
      <c r="D13" s="19"/>
      <c r="G13" s="17"/>
      <c r="H13" s="18"/>
      <c r="I13" s="19"/>
      <c r="L13" s="17"/>
      <c r="M13" s="18"/>
      <c r="N13" s="19"/>
    </row>
    <row r="14" spans="2:14" x14ac:dyDescent="0.3">
      <c r="B14" s="20"/>
      <c r="C14" s="44">
        <v>35</v>
      </c>
      <c r="D14" s="21"/>
      <c r="G14" s="20"/>
      <c r="H14" s="44">
        <v>16</v>
      </c>
      <c r="I14" s="21"/>
      <c r="L14" s="20"/>
      <c r="M14" s="44">
        <v>5</v>
      </c>
      <c r="N14" s="21"/>
    </row>
    <row r="15" spans="2:14" x14ac:dyDescent="0.3">
      <c r="B15" s="20"/>
      <c r="C15" s="45"/>
      <c r="D15" s="21"/>
      <c r="G15" s="20"/>
      <c r="H15" s="45"/>
      <c r="I15" s="21"/>
      <c r="L15" s="20"/>
      <c r="M15" s="45"/>
      <c r="N15" s="21"/>
    </row>
    <row r="16" spans="2:14" x14ac:dyDescent="0.3">
      <c r="B16" s="20"/>
      <c r="C16" s="16"/>
      <c r="D16" s="21"/>
      <c r="G16" s="20"/>
      <c r="H16" s="16"/>
      <c r="I16" s="21"/>
      <c r="L16" s="20"/>
      <c r="M16" s="16"/>
      <c r="N16" s="21"/>
    </row>
    <row r="17" spans="2:14" x14ac:dyDescent="0.3">
      <c r="B17" s="22"/>
      <c r="C17" s="23"/>
      <c r="D17" s="24"/>
      <c r="G17" s="22"/>
      <c r="H17" s="23"/>
      <c r="I17" s="24"/>
      <c r="L17" s="22"/>
      <c r="M17" s="23"/>
      <c r="N17" s="24"/>
    </row>
  </sheetData>
  <mergeCells count="7">
    <mergeCell ref="G2:J4"/>
    <mergeCell ref="M14:M15"/>
    <mergeCell ref="C14:C15"/>
    <mergeCell ref="H14:H15"/>
    <mergeCell ref="C7:C8"/>
    <mergeCell ref="H7:H8"/>
    <mergeCell ref="M7:M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GoToCustomerSheet">
                <anchor moveWithCells="1" sizeWithCells="1">
                  <from>
                    <xdr:col>1</xdr:col>
                    <xdr:colOff>464820</xdr:colOff>
                    <xdr:row>8</xdr:row>
                    <xdr:rowOff>114300</xdr:rowOff>
                  </from>
                  <to>
                    <xdr:col>3</xdr:col>
                    <xdr:colOff>213360</xdr:colOff>
                    <xdr:row>9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DisplayRowCountInDashboard">
                <anchor moveWithCells="1" sizeWithCells="1">
                  <from>
                    <xdr:col>6</xdr:col>
                    <xdr:colOff>350520</xdr:colOff>
                    <xdr:row>8</xdr:row>
                    <xdr:rowOff>99060</xdr:rowOff>
                  </from>
                  <to>
                    <xdr:col>8</xdr:col>
                    <xdr:colOff>358140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5" name="Button 3">
              <controlPr defaultSize="0" print="0" autoFill="0" autoPict="0" macro="[0]!GoToCustomizedOrdersSheet">
                <anchor moveWithCells="1" sizeWithCells="1">
                  <from>
                    <xdr:col>11</xdr:col>
                    <xdr:colOff>167640</xdr:colOff>
                    <xdr:row>8</xdr:row>
                    <xdr:rowOff>129540</xdr:rowOff>
                  </from>
                  <to>
                    <xdr:col>13</xdr:col>
                    <xdr:colOff>525780</xdr:colOff>
                    <xdr:row>9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6" name="Button 5">
              <controlPr defaultSize="0" print="0" autoFill="0" autoPict="0" macro="[0]!GoToProductsSheet">
                <anchor moveWithCells="1" sizeWithCells="1">
                  <from>
                    <xdr:col>1</xdr:col>
                    <xdr:colOff>381000</xdr:colOff>
                    <xdr:row>15</xdr:row>
                    <xdr:rowOff>76200</xdr:rowOff>
                  </from>
                  <to>
                    <xdr:col>3</xdr:col>
                    <xdr:colOff>251460</xdr:colOff>
                    <xdr:row>16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7" name="Button 6">
              <controlPr defaultSize="0" print="0" autoFill="0" autoPict="0" macro="[0]!GoToOrdersSheet">
                <anchor moveWithCells="1" sizeWithCells="1">
                  <from>
                    <xdr:col>6</xdr:col>
                    <xdr:colOff>480060</xdr:colOff>
                    <xdr:row>15</xdr:row>
                    <xdr:rowOff>76200</xdr:rowOff>
                  </from>
                  <to>
                    <xdr:col>8</xdr:col>
                    <xdr:colOff>190500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8" name="Button 7">
              <controlPr defaultSize="0" print="0" autoFill="0" autoPict="0" macro="[0]!GoToInventorySheet">
                <anchor moveWithCells="1" sizeWithCells="1">
                  <from>
                    <xdr:col>11</xdr:col>
                    <xdr:colOff>381000</xdr:colOff>
                    <xdr:row>15</xdr:row>
                    <xdr:rowOff>121920</xdr:rowOff>
                  </from>
                  <to>
                    <xdr:col>13</xdr:col>
                    <xdr:colOff>304800</xdr:colOff>
                    <xdr:row>16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9" name="Button 9">
              <controlPr defaultSize="0" print="0" autoFill="0" autoPict="0" macro="[0]!Back">
                <anchor moveWithCells="1" sizeWithCells="1">
                  <from>
                    <xdr:col>15</xdr:col>
                    <xdr:colOff>518160</xdr:colOff>
                    <xdr:row>9</xdr:row>
                    <xdr:rowOff>7620</xdr:rowOff>
                  </from>
                  <to>
                    <xdr:col>18</xdr:col>
                    <xdr:colOff>68580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C36E-282A-4B7D-B537-0FADE8D70AD4}">
  <sheetPr codeName="Sheet3"/>
  <dimension ref="A1:DB37"/>
  <sheetViews>
    <sheetView workbookViewId="0">
      <selection activeCell="CW12" sqref="CW12"/>
    </sheetView>
  </sheetViews>
  <sheetFormatPr defaultRowHeight="15.6" x14ac:dyDescent="0.3"/>
  <cols>
    <col min="1" max="1" width="4.3984375" bestFit="1" customWidth="1"/>
    <col min="2" max="2" width="13.19921875" bestFit="1" customWidth="1"/>
    <col min="3" max="3" width="12.19921875" bestFit="1" customWidth="1"/>
    <col min="4" max="4" width="25.59765625" bestFit="1" customWidth="1"/>
    <col min="5" max="5" width="10.8984375" bestFit="1" customWidth="1"/>
    <col min="6" max="6" width="12" bestFit="1" customWidth="1"/>
    <col min="7" max="8" width="13.3984375" bestFit="1" customWidth="1"/>
    <col min="10" max="10" width="15.5" bestFit="1" customWidth="1"/>
    <col min="11" max="11" width="4.3984375" bestFit="1" customWidth="1"/>
    <col min="12" max="12" width="10" bestFit="1" customWidth="1"/>
    <col min="13" max="13" width="50.796875" bestFit="1" customWidth="1"/>
    <col min="14" max="14" width="7.09765625" bestFit="1" customWidth="1"/>
    <col min="15" max="15" width="9.796875" bestFit="1" customWidth="1"/>
    <col min="16" max="16" width="8.5" bestFit="1" customWidth="1"/>
    <col min="17" max="17" width="12.19921875" bestFit="1" customWidth="1"/>
    <col min="18" max="18" width="9.69921875" bestFit="1" customWidth="1"/>
    <col min="19" max="19" width="12" bestFit="1" customWidth="1"/>
    <col min="20" max="21" width="14.3984375" bestFit="1" customWidth="1"/>
    <col min="22" max="22" width="17.19921875" bestFit="1" customWidth="1"/>
    <col min="25" max="25" width="4.3984375" bestFit="1" customWidth="1"/>
    <col min="26" max="26" width="10" bestFit="1" customWidth="1"/>
    <col min="27" max="27" width="25.59765625" bestFit="1" customWidth="1"/>
    <col min="28" max="28" width="13.19921875" bestFit="1" customWidth="1"/>
    <col min="29" max="29" width="29.69921875" bestFit="1" customWidth="1"/>
    <col min="30" max="30" width="11.09765625" bestFit="1" customWidth="1"/>
    <col min="31" max="31" width="17.3984375" bestFit="1" customWidth="1"/>
    <col min="32" max="32" width="16.3984375" bestFit="1" customWidth="1"/>
    <col min="33" max="35" width="14.3984375" bestFit="1" customWidth="1"/>
    <col min="38" max="38" width="10.8984375" bestFit="1" customWidth="1"/>
    <col min="43" max="44" width="14.296875" bestFit="1" customWidth="1"/>
    <col min="47" max="47" width="13.19921875" bestFit="1" customWidth="1"/>
    <col min="48" max="48" width="11.796875" bestFit="1" customWidth="1"/>
    <col min="49" max="49" width="18.09765625" bestFit="1" customWidth="1"/>
    <col min="50" max="50" width="12.296875" bestFit="1" customWidth="1"/>
    <col min="51" max="51" width="8.09765625" bestFit="1" customWidth="1"/>
    <col min="52" max="53" width="14.3984375" bestFit="1" customWidth="1"/>
    <col min="56" max="56" width="4.3984375" bestFit="1" customWidth="1"/>
    <col min="57" max="57" width="10" bestFit="1" customWidth="1"/>
    <col min="58" max="58" width="19.69921875" bestFit="1" customWidth="1"/>
    <col min="59" max="60" width="13.09765625" bestFit="1" customWidth="1"/>
    <col min="61" max="61" width="18.5" bestFit="1" customWidth="1"/>
    <col min="62" max="63" width="14.3984375" bestFit="1" customWidth="1"/>
    <col min="66" max="66" width="10.19921875" bestFit="1" customWidth="1"/>
    <col min="67" max="67" width="11.59765625" bestFit="1" customWidth="1"/>
    <col min="68" max="68" width="27" bestFit="1" customWidth="1"/>
    <col min="69" max="69" width="7.296875" bestFit="1" customWidth="1"/>
    <col min="70" max="70" width="12.69921875" bestFit="1" customWidth="1"/>
    <col min="71" max="71" width="15.59765625" bestFit="1" customWidth="1"/>
    <col min="72" max="72" width="20.09765625" bestFit="1" customWidth="1"/>
    <col min="73" max="73" width="18.19921875" bestFit="1" customWidth="1"/>
    <col min="74" max="74" width="20.59765625" bestFit="1" customWidth="1"/>
    <col min="75" max="75" width="15.69921875" bestFit="1" customWidth="1"/>
    <col min="76" max="76" width="15.5" bestFit="1" customWidth="1"/>
    <col min="77" max="78" width="14.3984375" bestFit="1" customWidth="1"/>
    <col min="79" max="79" width="13.09765625" hidden="1" customWidth="1"/>
    <col min="80" max="80" width="10" bestFit="1" customWidth="1"/>
    <col min="81" max="81" width="11.796875" bestFit="1" customWidth="1"/>
    <col min="82" max="82" width="8.5" bestFit="1" customWidth="1"/>
    <col min="85" max="85" width="4.3984375" bestFit="1" customWidth="1"/>
    <col min="86" max="86" width="11.59765625" bestFit="1" customWidth="1"/>
    <col min="87" max="87" width="34" bestFit="1" customWidth="1"/>
    <col min="88" max="88" width="14.09765625" bestFit="1" customWidth="1"/>
    <col min="89" max="89" width="17.19921875" bestFit="1" customWidth="1"/>
    <col min="90" max="90" width="27.59765625" bestFit="1" customWidth="1"/>
    <col min="91" max="91" width="13.19921875" bestFit="1" customWidth="1"/>
    <col min="92" max="92" width="11.59765625" bestFit="1" customWidth="1"/>
    <col min="93" max="93" width="15.59765625" bestFit="1" customWidth="1"/>
    <col min="94" max="94" width="7.8984375" bestFit="1" customWidth="1"/>
    <col min="95" max="95" width="15.09765625" bestFit="1" customWidth="1"/>
    <col min="96" max="96" width="20.5" bestFit="1" customWidth="1"/>
    <col min="97" max="98" width="14.3984375" bestFit="1" customWidth="1"/>
    <col min="101" max="101" width="13.19921875" bestFit="1" customWidth="1"/>
    <col min="102" max="102" width="12.796875" bestFit="1" customWidth="1"/>
    <col min="103" max="103" width="12.59765625" bestFit="1" customWidth="1"/>
    <col min="104" max="104" width="13.3984375" bestFit="1" customWidth="1"/>
    <col min="105" max="105" width="13.8984375" bestFit="1" customWidth="1"/>
    <col min="106" max="106" width="15.19921875" bestFit="1" customWidth="1"/>
  </cols>
  <sheetData>
    <row r="1" spans="1:106" x14ac:dyDescent="0.3">
      <c r="A1" s="46" t="s">
        <v>289</v>
      </c>
      <c r="B1" s="46"/>
      <c r="K1" s="46" t="s">
        <v>290</v>
      </c>
      <c r="L1" s="46"/>
      <c r="Y1" s="46" t="s">
        <v>291</v>
      </c>
      <c r="Z1" s="46"/>
      <c r="AL1" s="46" t="s">
        <v>292</v>
      </c>
      <c r="AM1" s="46"/>
      <c r="AU1" s="12" t="s">
        <v>293</v>
      </c>
      <c r="AV1" s="12"/>
      <c r="AW1" s="13"/>
      <c r="BD1" s="46" t="s">
        <v>294</v>
      </c>
      <c r="BE1" s="46"/>
      <c r="BN1" s="46" t="s">
        <v>295</v>
      </c>
      <c r="BO1" s="46"/>
      <c r="CG1" s="46" t="s">
        <v>296</v>
      </c>
      <c r="CH1" s="46"/>
      <c r="CW1" s="46" t="s">
        <v>375</v>
      </c>
      <c r="CX1" s="46"/>
    </row>
    <row r="2" spans="1:106" x14ac:dyDescent="0.3">
      <c r="A2" t="s">
        <v>19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  <c r="G2" t="s">
        <v>25</v>
      </c>
      <c r="H2" t="s">
        <v>26</v>
      </c>
      <c r="K2" t="s">
        <v>19</v>
      </c>
      <c r="L2" t="s">
        <v>31</v>
      </c>
      <c r="M2" t="s">
        <v>32</v>
      </c>
      <c r="N2" t="s">
        <v>33</v>
      </c>
      <c r="O2" t="s">
        <v>34</v>
      </c>
      <c r="P2" t="s">
        <v>35</v>
      </c>
      <c r="Q2" t="s">
        <v>36</v>
      </c>
      <c r="R2" t="s">
        <v>37</v>
      </c>
      <c r="S2" t="s">
        <v>38</v>
      </c>
      <c r="T2" t="s">
        <v>25</v>
      </c>
      <c r="U2" t="s">
        <v>26</v>
      </c>
      <c r="V2" t="s">
        <v>377</v>
      </c>
      <c r="Y2" t="s">
        <v>19</v>
      </c>
      <c r="Z2" t="s">
        <v>31</v>
      </c>
      <c r="AA2" t="s">
        <v>62</v>
      </c>
      <c r="AB2" t="s">
        <v>63</v>
      </c>
      <c r="AC2" t="s">
        <v>64</v>
      </c>
      <c r="AD2" t="s">
        <v>65</v>
      </c>
      <c r="AE2" t="s">
        <v>66</v>
      </c>
      <c r="AF2" t="s">
        <v>67</v>
      </c>
      <c r="AG2" t="s">
        <v>68</v>
      </c>
      <c r="AH2" t="s">
        <v>25</v>
      </c>
      <c r="AI2" t="s">
        <v>26</v>
      </c>
      <c r="AL2" s="4" t="s">
        <v>24</v>
      </c>
      <c r="AM2" s="4" t="s">
        <v>91</v>
      </c>
      <c r="AN2" s="4" t="s">
        <v>92</v>
      </c>
      <c r="AO2" s="4" t="s">
        <v>93</v>
      </c>
      <c r="AP2" s="4" t="s">
        <v>23</v>
      </c>
      <c r="AQ2" s="4" t="s">
        <v>25</v>
      </c>
      <c r="AR2" s="5" t="s">
        <v>26</v>
      </c>
      <c r="AU2" t="s">
        <v>88</v>
      </c>
      <c r="AV2" t="s">
        <v>91</v>
      </c>
      <c r="AW2" t="s">
        <v>22</v>
      </c>
      <c r="AX2" t="s">
        <v>23</v>
      </c>
      <c r="AY2" t="s">
        <v>157</v>
      </c>
      <c r="AZ2" t="s">
        <v>25</v>
      </c>
      <c r="BA2" t="s">
        <v>26</v>
      </c>
      <c r="BD2" t="s">
        <v>19</v>
      </c>
      <c r="BE2" t="s">
        <v>31</v>
      </c>
      <c r="BF2" t="s">
        <v>163</v>
      </c>
      <c r="BG2" t="s">
        <v>164</v>
      </c>
      <c r="BH2" t="s">
        <v>165</v>
      </c>
      <c r="BI2" t="s">
        <v>166</v>
      </c>
      <c r="BJ2" t="s">
        <v>25</v>
      </c>
      <c r="BK2" t="s">
        <v>26</v>
      </c>
      <c r="BN2" t="s">
        <v>167</v>
      </c>
      <c r="BO2" t="s">
        <v>168</v>
      </c>
      <c r="BP2" t="s">
        <v>169</v>
      </c>
      <c r="BQ2" t="s">
        <v>170</v>
      </c>
      <c r="BR2" t="s">
        <v>171</v>
      </c>
      <c r="BS2" t="s">
        <v>172</v>
      </c>
      <c r="BT2" t="s">
        <v>173</v>
      </c>
      <c r="BU2" t="s">
        <v>174</v>
      </c>
      <c r="BV2" t="s">
        <v>175</v>
      </c>
      <c r="BW2" t="s">
        <v>176</v>
      </c>
      <c r="BX2" t="s">
        <v>177</v>
      </c>
      <c r="BY2" t="s">
        <v>25</v>
      </c>
      <c r="BZ2" t="s">
        <v>26</v>
      </c>
      <c r="CA2" t="s">
        <v>178</v>
      </c>
      <c r="CB2" t="s">
        <v>179</v>
      </c>
      <c r="CC2" t="s">
        <v>180</v>
      </c>
      <c r="CD2" t="s">
        <v>181</v>
      </c>
      <c r="CG2" t="s">
        <v>19</v>
      </c>
      <c r="CH2" t="s">
        <v>168</v>
      </c>
      <c r="CI2" t="s">
        <v>215</v>
      </c>
      <c r="CJ2" t="s">
        <v>33</v>
      </c>
      <c r="CK2" t="s">
        <v>216</v>
      </c>
      <c r="CL2" t="s">
        <v>217</v>
      </c>
      <c r="CM2" t="s">
        <v>218</v>
      </c>
      <c r="CN2" t="s">
        <v>219</v>
      </c>
      <c r="CO2" t="s">
        <v>220</v>
      </c>
      <c r="CP2" t="s">
        <v>221</v>
      </c>
      <c r="CQ2" t="s">
        <v>222</v>
      </c>
      <c r="CR2" t="s">
        <v>223</v>
      </c>
      <c r="CS2" t="s">
        <v>25</v>
      </c>
      <c r="CT2" t="s">
        <v>26</v>
      </c>
      <c r="CW2" t="s">
        <v>358</v>
      </c>
      <c r="CX2" t="s">
        <v>359</v>
      </c>
      <c r="CY2" t="s">
        <v>360</v>
      </c>
      <c r="CZ2" t="s">
        <v>361</v>
      </c>
      <c r="DA2" t="s">
        <v>362</v>
      </c>
      <c r="DB2" t="s">
        <v>363</v>
      </c>
    </row>
    <row r="3" spans="1:106" x14ac:dyDescent="0.3">
      <c r="A3">
        <v>1</v>
      </c>
      <c r="B3" t="s">
        <v>27</v>
      </c>
      <c r="C3" t="s">
        <v>28</v>
      </c>
      <c r="D3" t="s">
        <v>29</v>
      </c>
      <c r="E3" t="s">
        <v>298</v>
      </c>
      <c r="F3">
        <v>762523460</v>
      </c>
      <c r="G3" s="1">
        <v>45081.355532407404</v>
      </c>
      <c r="H3" s="1">
        <v>45081.355532407404</v>
      </c>
      <c r="K3">
        <v>178</v>
      </c>
      <c r="L3">
        <v>356</v>
      </c>
      <c r="M3" t="s">
        <v>39</v>
      </c>
      <c r="N3">
        <v>4500</v>
      </c>
      <c r="O3">
        <v>1</v>
      </c>
      <c r="P3" t="s">
        <v>40</v>
      </c>
      <c r="Q3" s="2">
        <v>45168</v>
      </c>
      <c r="R3">
        <v>0</v>
      </c>
      <c r="S3" t="s">
        <v>41</v>
      </c>
      <c r="T3" s="1">
        <v>45138.559629629628</v>
      </c>
      <c r="U3" s="1">
        <v>45138.559629629628</v>
      </c>
      <c r="V3" t="s">
        <v>226</v>
      </c>
      <c r="Y3">
        <v>299</v>
      </c>
      <c r="Z3">
        <v>356</v>
      </c>
      <c r="AA3" t="s">
        <v>29</v>
      </c>
      <c r="AB3" t="s">
        <v>69</v>
      </c>
      <c r="AE3" t="s">
        <v>70</v>
      </c>
      <c r="AF3" t="s">
        <v>71</v>
      </c>
      <c r="AH3" s="1">
        <v>45138.559861111113</v>
      </c>
      <c r="AI3" s="1">
        <v>45138.559861111113</v>
      </c>
      <c r="AL3" s="6" t="s">
        <v>73</v>
      </c>
      <c r="AM3" s="6" t="s">
        <v>96</v>
      </c>
      <c r="AN3" s="6" t="s">
        <v>74</v>
      </c>
      <c r="AO3" s="6" t="s">
        <v>97</v>
      </c>
      <c r="AP3" s="6" t="s">
        <v>98</v>
      </c>
      <c r="AQ3" s="8">
        <v>45079.631886574076</v>
      </c>
      <c r="AR3" s="9">
        <v>45079.631886574076</v>
      </c>
      <c r="AU3">
        <v>1</v>
      </c>
      <c r="AV3" t="s">
        <v>124</v>
      </c>
      <c r="AW3" t="s">
        <v>77</v>
      </c>
      <c r="AX3" t="s">
        <v>158</v>
      </c>
      <c r="AZ3" s="1">
        <v>45101.715092592596</v>
      </c>
      <c r="BA3" s="1">
        <v>45101.715092592596</v>
      </c>
      <c r="BD3">
        <v>39</v>
      </c>
      <c r="BE3">
        <v>302</v>
      </c>
      <c r="BF3" s="2">
        <v>45156</v>
      </c>
      <c r="BG3" t="s">
        <v>48</v>
      </c>
      <c r="BH3">
        <v>2000</v>
      </c>
      <c r="BI3">
        <v>3500</v>
      </c>
      <c r="BJ3" s="1">
        <v>45138.569398148145</v>
      </c>
      <c r="BK3" s="1">
        <v>45138.569398148145</v>
      </c>
      <c r="BN3">
        <v>356</v>
      </c>
      <c r="BO3" t="s">
        <v>182</v>
      </c>
      <c r="BP3" t="s">
        <v>183</v>
      </c>
      <c r="BQ3">
        <v>4500</v>
      </c>
      <c r="BR3" t="s">
        <v>184</v>
      </c>
      <c r="BS3" t="s">
        <v>185</v>
      </c>
      <c r="BT3" t="s">
        <v>40</v>
      </c>
      <c r="BU3" t="s">
        <v>186</v>
      </c>
      <c r="BV3" t="s">
        <v>187</v>
      </c>
      <c r="BW3" t="s">
        <v>188</v>
      </c>
      <c r="BX3" t="s">
        <v>189</v>
      </c>
      <c r="BY3" s="1">
        <v>45138.559525462966</v>
      </c>
      <c r="BZ3" s="1">
        <v>45138.559988425928</v>
      </c>
      <c r="CC3" t="s">
        <v>190</v>
      </c>
      <c r="CD3">
        <v>0</v>
      </c>
      <c r="CG3">
        <v>1</v>
      </c>
      <c r="CH3" t="s">
        <v>182</v>
      </c>
      <c r="CI3" t="s">
        <v>224</v>
      </c>
      <c r="CJ3" t="s">
        <v>225</v>
      </c>
      <c r="CK3" t="s">
        <v>226</v>
      </c>
      <c r="CL3" t="s">
        <v>183</v>
      </c>
      <c r="CM3" t="s">
        <v>40</v>
      </c>
      <c r="CN3" t="s">
        <v>184</v>
      </c>
      <c r="CO3" t="s">
        <v>185</v>
      </c>
      <c r="CP3">
        <v>5</v>
      </c>
      <c r="CQ3" t="s">
        <v>190</v>
      </c>
      <c r="CR3" t="s">
        <v>227</v>
      </c>
      <c r="CS3" s="1">
        <v>45124.427395833336</v>
      </c>
      <c r="CT3" s="1">
        <v>45124.427395833336</v>
      </c>
      <c r="CW3">
        <v>1</v>
      </c>
      <c r="CX3" t="s">
        <v>364</v>
      </c>
      <c r="CY3" t="s">
        <v>365</v>
      </c>
      <c r="CZ3" s="2">
        <v>45148</v>
      </c>
      <c r="DA3" t="s">
        <v>366</v>
      </c>
      <c r="DB3" s="2">
        <v>45153</v>
      </c>
    </row>
    <row r="4" spans="1:106" x14ac:dyDescent="0.3">
      <c r="A4">
        <v>3</v>
      </c>
      <c r="B4" t="s">
        <v>30</v>
      </c>
      <c r="C4" t="s">
        <v>28</v>
      </c>
      <c r="D4" s="3" t="s">
        <v>299</v>
      </c>
      <c r="E4" t="s">
        <v>96</v>
      </c>
      <c r="F4">
        <v>770661671</v>
      </c>
      <c r="G4" s="1">
        <v>45081.858865740738</v>
      </c>
      <c r="H4" s="1">
        <v>45081.858865740738</v>
      </c>
      <c r="K4">
        <v>179</v>
      </c>
      <c r="L4">
        <v>358</v>
      </c>
      <c r="M4" t="s">
        <v>42</v>
      </c>
      <c r="N4">
        <v>2500</v>
      </c>
      <c r="O4">
        <v>1</v>
      </c>
      <c r="P4" t="s">
        <v>43</v>
      </c>
      <c r="Q4" s="2">
        <v>45159</v>
      </c>
      <c r="R4">
        <v>1</v>
      </c>
      <c r="S4" t="s">
        <v>44</v>
      </c>
      <c r="T4" s="1">
        <v>45138.56585648148</v>
      </c>
      <c r="U4" s="1">
        <v>45138.56585648148</v>
      </c>
      <c r="V4" t="s">
        <v>226</v>
      </c>
      <c r="Y4">
        <v>300</v>
      </c>
      <c r="Z4">
        <v>358</v>
      </c>
      <c r="AA4" t="s">
        <v>72</v>
      </c>
      <c r="AB4" t="s">
        <v>73</v>
      </c>
      <c r="AC4" t="s">
        <v>74</v>
      </c>
      <c r="AD4" t="s">
        <v>75</v>
      </c>
      <c r="AE4" t="s">
        <v>76</v>
      </c>
      <c r="AF4" t="s">
        <v>71</v>
      </c>
      <c r="AH4" s="1">
        <v>45138.566377314812</v>
      </c>
      <c r="AI4" s="1">
        <v>45138.566377314812</v>
      </c>
      <c r="AL4" s="7" t="s">
        <v>73</v>
      </c>
      <c r="AM4" s="7" t="s">
        <v>100</v>
      </c>
      <c r="AN4" s="7" t="s">
        <v>101</v>
      </c>
      <c r="AO4" s="7" t="s">
        <v>97</v>
      </c>
      <c r="AP4" s="7" t="s">
        <v>102</v>
      </c>
      <c r="AQ4" s="10">
        <v>45079.641203703701</v>
      </c>
      <c r="AR4" s="11">
        <v>45079.641203703701</v>
      </c>
      <c r="AU4">
        <v>53</v>
      </c>
      <c r="AV4" t="s">
        <v>124</v>
      </c>
      <c r="AW4" t="s">
        <v>77</v>
      </c>
      <c r="AX4" t="s">
        <v>158</v>
      </c>
      <c r="AZ4" s="1">
        <v>45113.321157407408</v>
      </c>
      <c r="BA4" s="1">
        <v>45113.321157407408</v>
      </c>
      <c r="BD4">
        <v>40</v>
      </c>
      <c r="BE4">
        <v>304</v>
      </c>
      <c r="BF4" s="2">
        <v>45164</v>
      </c>
      <c r="BG4" t="s">
        <v>46</v>
      </c>
      <c r="BH4">
        <v>800</v>
      </c>
      <c r="BI4">
        <v>1450</v>
      </c>
      <c r="BJ4" s="1">
        <v>45138.635069444441</v>
      </c>
      <c r="BK4" s="1">
        <v>45138.635069444441</v>
      </c>
      <c r="BN4">
        <v>358</v>
      </c>
      <c r="BO4" t="s">
        <v>191</v>
      </c>
      <c r="BP4" t="s">
        <v>192</v>
      </c>
      <c r="BQ4">
        <v>2500</v>
      </c>
      <c r="BR4" t="s">
        <v>193</v>
      </c>
      <c r="BS4" t="s">
        <v>194</v>
      </c>
      <c r="BT4" t="s">
        <v>43</v>
      </c>
      <c r="BU4" t="s">
        <v>195</v>
      </c>
      <c r="BW4" t="s">
        <v>188</v>
      </c>
      <c r="BX4" t="s">
        <v>188</v>
      </c>
      <c r="BY4" s="1">
        <v>45138.565625000003</v>
      </c>
      <c r="BZ4" s="1">
        <v>45138.680486111109</v>
      </c>
      <c r="CD4">
        <v>0</v>
      </c>
      <c r="CG4">
        <v>2</v>
      </c>
      <c r="CH4" t="s">
        <v>213</v>
      </c>
      <c r="CI4" t="s">
        <v>228</v>
      </c>
      <c r="CJ4" t="s">
        <v>229</v>
      </c>
      <c r="CK4" t="s">
        <v>226</v>
      </c>
      <c r="CL4" t="s">
        <v>214</v>
      </c>
      <c r="CM4" t="s">
        <v>40</v>
      </c>
      <c r="CN4" t="s">
        <v>198</v>
      </c>
      <c r="CO4" t="s">
        <v>194</v>
      </c>
      <c r="CP4">
        <v>5</v>
      </c>
      <c r="CR4" t="s">
        <v>230</v>
      </c>
      <c r="CS4" s="1">
        <v>45124.429930555554</v>
      </c>
      <c r="CT4" s="1">
        <v>45124.429930555554</v>
      </c>
      <c r="CW4">
        <v>2</v>
      </c>
      <c r="CX4" t="s">
        <v>367</v>
      </c>
      <c r="CY4" t="s">
        <v>365</v>
      </c>
      <c r="CZ4" s="2">
        <v>45148</v>
      </c>
      <c r="DA4" t="s">
        <v>368</v>
      </c>
      <c r="DB4" s="2">
        <v>45155</v>
      </c>
    </row>
    <row r="5" spans="1:106" x14ac:dyDescent="0.3">
      <c r="K5">
        <v>180</v>
      </c>
      <c r="L5">
        <v>359</v>
      </c>
      <c r="M5" t="s">
        <v>45</v>
      </c>
      <c r="N5">
        <v>2250</v>
      </c>
      <c r="O5">
        <v>1</v>
      </c>
      <c r="P5" t="s">
        <v>43</v>
      </c>
      <c r="Q5" s="2">
        <v>45168</v>
      </c>
      <c r="R5">
        <v>0</v>
      </c>
      <c r="S5" t="s">
        <v>46</v>
      </c>
      <c r="T5" s="1">
        <v>45138.567719907405</v>
      </c>
      <c r="U5" s="1">
        <v>45138.567719907405</v>
      </c>
      <c r="V5" t="s">
        <v>226</v>
      </c>
      <c r="Y5">
        <v>301</v>
      </c>
      <c r="Z5">
        <v>359</v>
      </c>
      <c r="AA5" t="s">
        <v>77</v>
      </c>
      <c r="AB5" t="s">
        <v>78</v>
      </c>
      <c r="AE5" t="s">
        <v>79</v>
      </c>
      <c r="AF5" t="s">
        <v>71</v>
      </c>
      <c r="AH5" s="1">
        <v>45138.567916666667</v>
      </c>
      <c r="AI5" s="1">
        <v>45138.567916666667</v>
      </c>
      <c r="AL5" s="6" t="s">
        <v>106</v>
      </c>
      <c r="AM5" s="6" t="s">
        <v>107</v>
      </c>
      <c r="AN5" s="6" t="s">
        <v>108</v>
      </c>
      <c r="AO5" s="6" t="s">
        <v>97</v>
      </c>
      <c r="AP5" s="6" t="s">
        <v>109</v>
      </c>
      <c r="AQ5" s="8">
        <v>45079.642974537041</v>
      </c>
      <c r="AR5" s="9">
        <v>45079.642974537041</v>
      </c>
      <c r="AU5">
        <v>54</v>
      </c>
      <c r="AV5" t="s">
        <v>124</v>
      </c>
      <c r="AW5" t="s">
        <v>77</v>
      </c>
      <c r="AX5" t="s">
        <v>158</v>
      </c>
      <c r="AZ5" s="1">
        <v>45123.514756944445</v>
      </c>
      <c r="BA5" s="1">
        <v>45123.514756944445</v>
      </c>
      <c r="BD5">
        <v>41</v>
      </c>
      <c r="BE5">
        <v>305</v>
      </c>
      <c r="BF5" s="2">
        <v>45155</v>
      </c>
      <c r="BG5" t="s">
        <v>51</v>
      </c>
      <c r="BH5">
        <v>1000</v>
      </c>
      <c r="BI5">
        <v>6900</v>
      </c>
      <c r="BJ5" s="1">
        <v>45139.803831018522</v>
      </c>
      <c r="BK5" s="1">
        <v>45139.803831018522</v>
      </c>
      <c r="BN5">
        <v>359</v>
      </c>
      <c r="BO5" t="s">
        <v>196</v>
      </c>
      <c r="BP5" t="s">
        <v>197</v>
      </c>
      <c r="BQ5">
        <v>2250</v>
      </c>
      <c r="BR5" t="s">
        <v>198</v>
      </c>
      <c r="BS5" t="s">
        <v>185</v>
      </c>
      <c r="BT5" t="s">
        <v>43</v>
      </c>
      <c r="BU5" t="s">
        <v>199</v>
      </c>
      <c r="BW5" t="s">
        <v>189</v>
      </c>
      <c r="BX5" t="s">
        <v>189</v>
      </c>
      <c r="BY5" s="1">
        <v>45138.567488425928</v>
      </c>
      <c r="BZ5" s="1">
        <v>45138.567488425928</v>
      </c>
      <c r="CD5">
        <v>0</v>
      </c>
      <c r="CG5">
        <v>3</v>
      </c>
      <c r="CH5" t="s">
        <v>191</v>
      </c>
      <c r="CI5" t="s">
        <v>231</v>
      </c>
      <c r="CJ5" t="s">
        <v>232</v>
      </c>
      <c r="CK5" t="s">
        <v>226</v>
      </c>
      <c r="CL5" t="s">
        <v>192</v>
      </c>
      <c r="CM5" t="s">
        <v>40</v>
      </c>
      <c r="CN5" t="s">
        <v>193</v>
      </c>
      <c r="CO5" t="s">
        <v>194</v>
      </c>
      <c r="CP5">
        <v>0</v>
      </c>
      <c r="CR5" t="s">
        <v>233</v>
      </c>
      <c r="CS5" s="1">
        <v>45124.431435185186</v>
      </c>
      <c r="CT5" s="1">
        <v>45124.431435185186</v>
      </c>
      <c r="CW5">
        <v>3</v>
      </c>
      <c r="CX5" t="s">
        <v>193</v>
      </c>
      <c r="CY5" t="s">
        <v>365</v>
      </c>
      <c r="CZ5" s="2">
        <v>45148</v>
      </c>
      <c r="DA5" t="s">
        <v>369</v>
      </c>
      <c r="DB5" s="2">
        <v>45156</v>
      </c>
    </row>
    <row r="6" spans="1:106" x14ac:dyDescent="0.3">
      <c r="K6">
        <v>181</v>
      </c>
      <c r="L6">
        <v>360</v>
      </c>
      <c r="M6" t="s">
        <v>47</v>
      </c>
      <c r="N6">
        <v>5300</v>
      </c>
      <c r="O6">
        <v>1</v>
      </c>
      <c r="P6" t="s">
        <v>40</v>
      </c>
      <c r="Q6" s="2">
        <v>45163</v>
      </c>
      <c r="R6">
        <v>1</v>
      </c>
      <c r="S6" t="s">
        <v>48</v>
      </c>
      <c r="T6" s="1">
        <v>45138.568703703706</v>
      </c>
      <c r="U6" s="1">
        <v>45138.568703703706</v>
      </c>
      <c r="V6" t="s">
        <v>226</v>
      </c>
      <c r="Y6">
        <v>302</v>
      </c>
      <c r="Z6">
        <v>360</v>
      </c>
      <c r="AA6" t="s">
        <v>80</v>
      </c>
      <c r="AB6" t="s">
        <v>81</v>
      </c>
      <c r="AC6" t="s">
        <v>82</v>
      </c>
      <c r="AD6" t="s">
        <v>83</v>
      </c>
      <c r="AE6" t="s">
        <v>70</v>
      </c>
      <c r="AF6" t="s">
        <v>84</v>
      </c>
      <c r="AH6" s="1">
        <v>45138.56927083333</v>
      </c>
      <c r="AI6" s="1">
        <v>45138.56927083333</v>
      </c>
      <c r="AL6" s="7" t="s">
        <v>106</v>
      </c>
      <c r="AM6" s="7" t="s">
        <v>112</v>
      </c>
      <c r="AN6" s="7" t="s">
        <v>113</v>
      </c>
      <c r="AO6" s="7" t="s">
        <v>97</v>
      </c>
      <c r="AP6" s="7" t="s">
        <v>114</v>
      </c>
      <c r="AQ6" s="10">
        <v>45079.646249999998</v>
      </c>
      <c r="AR6" s="11">
        <v>45079.646249999998</v>
      </c>
      <c r="AU6">
        <v>56</v>
      </c>
      <c r="AV6" t="s">
        <v>137</v>
      </c>
      <c r="AW6" t="s">
        <v>136</v>
      </c>
      <c r="AX6" t="s">
        <v>137</v>
      </c>
      <c r="AZ6" s="1">
        <v>45123.608194444445</v>
      </c>
      <c r="BA6" s="1">
        <v>45123.608194444445</v>
      </c>
      <c r="BD6">
        <v>42</v>
      </c>
      <c r="BE6">
        <v>308</v>
      </c>
      <c r="BF6" s="2">
        <v>45155</v>
      </c>
      <c r="BG6" t="s">
        <v>56</v>
      </c>
      <c r="BH6">
        <v>1000</v>
      </c>
      <c r="BI6">
        <v>1900</v>
      </c>
      <c r="BJ6" s="1">
        <v>45140.152673611112</v>
      </c>
      <c r="BK6" s="1">
        <v>45140.152673611112</v>
      </c>
      <c r="BN6">
        <v>360</v>
      </c>
      <c r="BO6" t="s">
        <v>200</v>
      </c>
      <c r="BP6" t="s">
        <v>201</v>
      </c>
      <c r="BQ6">
        <v>5300</v>
      </c>
      <c r="BR6" t="s">
        <v>198</v>
      </c>
      <c r="BS6" t="s">
        <v>185</v>
      </c>
      <c r="BT6" t="s">
        <v>40</v>
      </c>
      <c r="BU6" t="s">
        <v>186</v>
      </c>
      <c r="BW6" t="s">
        <v>202</v>
      </c>
      <c r="BX6" t="s">
        <v>189</v>
      </c>
      <c r="BY6" s="1">
        <v>45138.568576388891</v>
      </c>
      <c r="BZ6" s="1">
        <v>45138.569490740738</v>
      </c>
      <c r="CD6">
        <v>0</v>
      </c>
      <c r="CG6">
        <v>4</v>
      </c>
      <c r="CH6" t="s">
        <v>196</v>
      </c>
      <c r="CI6" t="s">
        <v>234</v>
      </c>
      <c r="CJ6" t="s">
        <v>235</v>
      </c>
      <c r="CK6" t="s">
        <v>226</v>
      </c>
      <c r="CL6" t="s">
        <v>197</v>
      </c>
      <c r="CM6" t="s">
        <v>236</v>
      </c>
      <c r="CN6" t="s">
        <v>198</v>
      </c>
      <c r="CO6" t="s">
        <v>185</v>
      </c>
      <c r="CP6">
        <v>5</v>
      </c>
      <c r="CR6" t="s">
        <v>230</v>
      </c>
      <c r="CS6" s="1">
        <v>45124.432372685187</v>
      </c>
      <c r="CT6" s="1">
        <v>45124.432372685187</v>
      </c>
      <c r="CW6">
        <v>4</v>
      </c>
      <c r="CX6" t="s">
        <v>370</v>
      </c>
      <c r="CY6" t="s">
        <v>371</v>
      </c>
      <c r="CZ6" s="2">
        <v>45148</v>
      </c>
      <c r="DA6" t="s">
        <v>372</v>
      </c>
      <c r="DB6" s="2">
        <v>45154</v>
      </c>
    </row>
    <row r="7" spans="1:106" x14ac:dyDescent="0.3">
      <c r="K7">
        <v>182</v>
      </c>
      <c r="L7">
        <v>361</v>
      </c>
      <c r="M7" t="s">
        <v>49</v>
      </c>
      <c r="N7">
        <v>7900</v>
      </c>
      <c r="O7">
        <v>1</v>
      </c>
      <c r="P7" t="s">
        <v>50</v>
      </c>
      <c r="Q7" s="2">
        <v>45160</v>
      </c>
      <c r="R7">
        <v>0</v>
      </c>
      <c r="S7" t="s">
        <v>51</v>
      </c>
      <c r="T7" s="1">
        <v>45138.570370370369</v>
      </c>
      <c r="U7" s="1">
        <v>45138.570370370369</v>
      </c>
      <c r="V7" t="s">
        <v>226</v>
      </c>
      <c r="Y7">
        <v>303</v>
      </c>
      <c r="Z7">
        <v>361</v>
      </c>
      <c r="AA7" t="s">
        <v>29</v>
      </c>
      <c r="AB7" t="s">
        <v>73</v>
      </c>
      <c r="AE7" t="s">
        <v>70</v>
      </c>
      <c r="AF7" t="s">
        <v>71</v>
      </c>
      <c r="AH7" s="1">
        <v>45138.570567129631</v>
      </c>
      <c r="AI7" s="1">
        <v>45138.570567129631</v>
      </c>
      <c r="AL7" s="6" t="s">
        <v>85</v>
      </c>
      <c r="AM7" s="6" t="s">
        <v>117</v>
      </c>
      <c r="AN7" s="6" t="s">
        <v>118</v>
      </c>
      <c r="AO7" s="6" t="s">
        <v>119</v>
      </c>
      <c r="AP7" s="6" t="s">
        <v>120</v>
      </c>
      <c r="AQ7" s="8">
        <v>45079.651747685188</v>
      </c>
      <c r="AR7" s="9">
        <v>45079.651747685188</v>
      </c>
      <c r="AU7">
        <v>71</v>
      </c>
      <c r="AV7" t="s">
        <v>124</v>
      </c>
      <c r="AW7" t="s">
        <v>77</v>
      </c>
      <c r="AX7" t="s">
        <v>159</v>
      </c>
      <c r="AZ7" s="1">
        <v>45139.830729166664</v>
      </c>
      <c r="BA7" s="1">
        <v>45139.830729166664</v>
      </c>
      <c r="BD7">
        <v>43</v>
      </c>
      <c r="BE7">
        <v>309</v>
      </c>
      <c r="BF7" s="2">
        <v>45156</v>
      </c>
      <c r="BG7" t="s">
        <v>57</v>
      </c>
      <c r="BH7">
        <v>1500</v>
      </c>
      <c r="BI7">
        <v>2700</v>
      </c>
      <c r="BJ7" s="1">
        <v>45140.244768518518</v>
      </c>
      <c r="BK7" s="1">
        <v>45140.244768518518</v>
      </c>
      <c r="BN7">
        <v>361</v>
      </c>
      <c r="BO7" t="s">
        <v>203</v>
      </c>
      <c r="BP7" t="s">
        <v>204</v>
      </c>
      <c r="BQ7">
        <v>7900</v>
      </c>
      <c r="BR7" t="s">
        <v>198</v>
      </c>
      <c r="BS7" t="s">
        <v>194</v>
      </c>
      <c r="BT7" t="s">
        <v>50</v>
      </c>
      <c r="BU7" t="s">
        <v>205</v>
      </c>
      <c r="BW7" t="s">
        <v>188</v>
      </c>
      <c r="BX7" t="s">
        <v>188</v>
      </c>
      <c r="BY7" s="1">
        <v>45138.570081018515</v>
      </c>
      <c r="BZ7" s="1">
        <v>45138.68068287037</v>
      </c>
      <c r="CD7">
        <v>0</v>
      </c>
      <c r="CG7">
        <v>5</v>
      </c>
      <c r="CH7" t="s">
        <v>200</v>
      </c>
      <c r="CI7" t="s">
        <v>237</v>
      </c>
      <c r="CJ7" t="s">
        <v>232</v>
      </c>
      <c r="CK7" t="s">
        <v>226</v>
      </c>
      <c r="CL7" t="s">
        <v>201</v>
      </c>
      <c r="CM7" t="s">
        <v>40</v>
      </c>
      <c r="CN7" t="s">
        <v>198</v>
      </c>
      <c r="CO7" t="s">
        <v>185</v>
      </c>
      <c r="CP7">
        <v>0</v>
      </c>
      <c r="CR7" t="s">
        <v>230</v>
      </c>
      <c r="CS7" s="1">
        <v>45124.43346064815</v>
      </c>
      <c r="CT7" s="1">
        <v>45124.43346064815</v>
      </c>
      <c r="CW7">
        <v>5</v>
      </c>
      <c r="CX7" t="s">
        <v>373</v>
      </c>
      <c r="CY7" t="s">
        <v>40</v>
      </c>
      <c r="CZ7" s="2">
        <v>45148</v>
      </c>
      <c r="DA7" t="s">
        <v>374</v>
      </c>
      <c r="DB7" s="2">
        <v>45158</v>
      </c>
    </row>
    <row r="8" spans="1:106" x14ac:dyDescent="0.3">
      <c r="K8">
        <v>183</v>
      </c>
      <c r="L8">
        <v>362</v>
      </c>
      <c r="M8" t="s">
        <v>52</v>
      </c>
      <c r="N8">
        <v>2250</v>
      </c>
      <c r="O8">
        <v>1</v>
      </c>
      <c r="P8" t="s">
        <v>43</v>
      </c>
      <c r="Q8" s="2">
        <v>45174</v>
      </c>
      <c r="R8">
        <v>0</v>
      </c>
      <c r="S8" t="s">
        <v>46</v>
      </c>
      <c r="T8" s="1">
        <v>45138.634756944448</v>
      </c>
      <c r="U8" s="1">
        <v>45138.634756944448</v>
      </c>
      <c r="V8" t="s">
        <v>226</v>
      </c>
      <c r="Y8">
        <v>304</v>
      </c>
      <c r="Z8">
        <v>362</v>
      </c>
      <c r="AA8" t="s">
        <v>72</v>
      </c>
      <c r="AB8" t="s">
        <v>85</v>
      </c>
      <c r="AE8" t="s">
        <v>70</v>
      </c>
      <c r="AF8" t="s">
        <v>84</v>
      </c>
      <c r="AH8" s="1">
        <v>45138.634965277779</v>
      </c>
      <c r="AI8" s="1">
        <v>45138.634965277779</v>
      </c>
      <c r="AL8" s="7" t="s">
        <v>123</v>
      </c>
      <c r="AM8" s="7" t="s">
        <v>124</v>
      </c>
      <c r="AN8" s="7" t="s">
        <v>125</v>
      </c>
      <c r="AO8" s="7" t="s">
        <v>97</v>
      </c>
      <c r="AP8" s="7" t="s">
        <v>126</v>
      </c>
      <c r="AQ8" s="10">
        <v>45079.711064814815</v>
      </c>
      <c r="AR8" s="11">
        <v>45079.711064814815</v>
      </c>
      <c r="AU8">
        <v>72</v>
      </c>
      <c r="AV8" t="s">
        <v>124</v>
      </c>
      <c r="AW8" t="s">
        <v>77</v>
      </c>
      <c r="AX8" t="s">
        <v>160</v>
      </c>
      <c r="AZ8" s="1">
        <v>45139.831018518518</v>
      </c>
      <c r="BA8" s="1">
        <v>45139.831018518518</v>
      </c>
      <c r="BD8">
        <v>44</v>
      </c>
      <c r="BE8">
        <v>311</v>
      </c>
      <c r="BF8" s="2">
        <v>45154</v>
      </c>
      <c r="BG8" t="s">
        <v>59</v>
      </c>
      <c r="BH8">
        <v>1000</v>
      </c>
      <c r="BI8">
        <v>5700</v>
      </c>
      <c r="BJ8" s="1">
        <v>45140.270486111112</v>
      </c>
      <c r="BK8" s="1">
        <v>45140.270486111112</v>
      </c>
      <c r="BN8">
        <v>362</v>
      </c>
      <c r="BO8" t="s">
        <v>206</v>
      </c>
      <c r="BP8" t="s">
        <v>207</v>
      </c>
      <c r="BQ8">
        <v>2250</v>
      </c>
      <c r="BR8" t="s">
        <v>198</v>
      </c>
      <c r="BS8" t="s">
        <v>194</v>
      </c>
      <c r="BT8" t="s">
        <v>43</v>
      </c>
      <c r="BU8" t="s">
        <v>199</v>
      </c>
      <c r="BW8" t="s">
        <v>202</v>
      </c>
      <c r="BX8" t="s">
        <v>189</v>
      </c>
      <c r="BY8" s="1">
        <v>45138.634699074071</v>
      </c>
      <c r="BZ8" s="1">
        <v>45138.63517361111</v>
      </c>
      <c r="CD8">
        <v>0</v>
      </c>
      <c r="CG8">
        <v>6</v>
      </c>
      <c r="CH8" t="s">
        <v>206</v>
      </c>
      <c r="CI8" t="s">
        <v>238</v>
      </c>
      <c r="CJ8" t="s">
        <v>235</v>
      </c>
      <c r="CK8" t="s">
        <v>226</v>
      </c>
      <c r="CL8" t="s">
        <v>207</v>
      </c>
      <c r="CM8" t="s">
        <v>236</v>
      </c>
      <c r="CN8" t="s">
        <v>198</v>
      </c>
      <c r="CO8" t="s">
        <v>194</v>
      </c>
      <c r="CP8">
        <v>4</v>
      </c>
      <c r="CR8" t="s">
        <v>227</v>
      </c>
      <c r="CS8" s="1">
        <v>45124.434444444443</v>
      </c>
      <c r="CT8" s="1">
        <v>45124.434444444443</v>
      </c>
    </row>
    <row r="9" spans="1:106" x14ac:dyDescent="0.3">
      <c r="K9">
        <v>184</v>
      </c>
      <c r="L9">
        <v>363</v>
      </c>
      <c r="M9" t="s">
        <v>47</v>
      </c>
      <c r="N9">
        <v>7900</v>
      </c>
      <c r="O9">
        <v>1</v>
      </c>
      <c r="P9" t="s">
        <v>50</v>
      </c>
      <c r="Q9" s="2">
        <v>45168</v>
      </c>
      <c r="R9">
        <v>0</v>
      </c>
      <c r="S9" t="s">
        <v>51</v>
      </c>
      <c r="T9" s="1">
        <v>45139.73574074074</v>
      </c>
      <c r="U9" s="1">
        <v>45139.73574074074</v>
      </c>
      <c r="V9" t="s">
        <v>226</v>
      </c>
      <c r="Y9">
        <v>305</v>
      </c>
      <c r="Z9">
        <v>363</v>
      </c>
      <c r="AA9" t="s">
        <v>29</v>
      </c>
      <c r="AB9" t="s">
        <v>81</v>
      </c>
      <c r="AE9" t="s">
        <v>70</v>
      </c>
      <c r="AF9" t="s">
        <v>84</v>
      </c>
      <c r="AH9" s="1">
        <v>45139.782326388886</v>
      </c>
      <c r="AI9" s="1">
        <v>45139.782326388886</v>
      </c>
      <c r="AL9" s="6" t="s">
        <v>129</v>
      </c>
      <c r="AM9" s="6" t="s">
        <v>130</v>
      </c>
      <c r="AN9" s="6" t="s">
        <v>131</v>
      </c>
      <c r="AO9" s="6" t="s">
        <v>97</v>
      </c>
      <c r="AP9" s="6" t="s">
        <v>132</v>
      </c>
      <c r="AQ9" s="8">
        <v>45081.804074074076</v>
      </c>
      <c r="AR9" s="9">
        <v>45081.804074074076</v>
      </c>
      <c r="AU9">
        <v>73</v>
      </c>
      <c r="AV9" t="s">
        <v>124</v>
      </c>
      <c r="AW9" t="s">
        <v>77</v>
      </c>
      <c r="AX9" t="s">
        <v>161</v>
      </c>
      <c r="AZ9" s="1">
        <v>45139.83116898148</v>
      </c>
      <c r="BA9" s="1">
        <v>45139.83116898148</v>
      </c>
      <c r="BN9">
        <v>363</v>
      </c>
      <c r="BO9" t="s">
        <v>200</v>
      </c>
      <c r="BP9" t="s">
        <v>201</v>
      </c>
      <c r="BQ9">
        <v>7900</v>
      </c>
      <c r="BR9" t="s">
        <v>198</v>
      </c>
      <c r="BS9" t="s">
        <v>185</v>
      </c>
      <c r="BT9" t="s">
        <v>50</v>
      </c>
      <c r="BU9" t="s">
        <v>205</v>
      </c>
      <c r="BV9" t="s">
        <v>208</v>
      </c>
      <c r="BW9" t="s">
        <v>202</v>
      </c>
      <c r="BX9" t="s">
        <v>189</v>
      </c>
      <c r="BY9" s="1">
        <v>45139.703888888886</v>
      </c>
      <c r="BZ9" s="1">
        <v>45139.81490740741</v>
      </c>
      <c r="CD9">
        <v>0</v>
      </c>
      <c r="CG9">
        <v>7</v>
      </c>
      <c r="CH9" t="s">
        <v>239</v>
      </c>
      <c r="CI9" t="s">
        <v>240</v>
      </c>
      <c r="CJ9" t="s">
        <v>225</v>
      </c>
      <c r="CK9" t="s">
        <v>226</v>
      </c>
      <c r="CL9" t="s">
        <v>241</v>
      </c>
      <c r="CM9" t="s">
        <v>40</v>
      </c>
      <c r="CN9" t="s">
        <v>184</v>
      </c>
      <c r="CO9" t="s">
        <v>194</v>
      </c>
      <c r="CP9">
        <v>0</v>
      </c>
      <c r="CR9" t="s">
        <v>227</v>
      </c>
      <c r="CS9" s="1">
        <v>45124.43545138889</v>
      </c>
      <c r="CT9" s="1">
        <v>45124.43545138889</v>
      </c>
    </row>
    <row r="10" spans="1:106" x14ac:dyDescent="0.3">
      <c r="K10">
        <v>185</v>
      </c>
      <c r="L10">
        <v>364</v>
      </c>
      <c r="M10" t="s">
        <v>52</v>
      </c>
      <c r="N10">
        <v>2250</v>
      </c>
      <c r="O10">
        <v>1</v>
      </c>
      <c r="P10" t="s">
        <v>43</v>
      </c>
      <c r="Q10" s="2">
        <v>45160</v>
      </c>
      <c r="R10">
        <v>1</v>
      </c>
      <c r="S10" t="s">
        <v>53</v>
      </c>
      <c r="T10" s="1">
        <v>45139.819027777776</v>
      </c>
      <c r="U10" s="1">
        <v>45139.819027777776</v>
      </c>
      <c r="V10" t="s">
        <v>226</v>
      </c>
      <c r="Y10">
        <v>306</v>
      </c>
      <c r="Z10">
        <v>364</v>
      </c>
      <c r="AA10" t="s">
        <v>72</v>
      </c>
      <c r="AB10" t="s">
        <v>73</v>
      </c>
      <c r="AC10" t="s">
        <v>86</v>
      </c>
      <c r="AD10" t="s">
        <v>87</v>
      </c>
      <c r="AE10" t="s">
        <v>76</v>
      </c>
      <c r="AF10" t="s">
        <v>71</v>
      </c>
      <c r="AH10" s="1">
        <v>45139.819664351853</v>
      </c>
      <c r="AI10" s="1">
        <v>45139.819664351853</v>
      </c>
      <c r="AL10" s="7" t="s">
        <v>69</v>
      </c>
      <c r="AM10" s="7" t="s">
        <v>96</v>
      </c>
      <c r="AN10" s="7" t="s">
        <v>74</v>
      </c>
      <c r="AO10" s="7" t="s">
        <v>97</v>
      </c>
      <c r="AP10" s="7" t="s">
        <v>133</v>
      </c>
      <c r="AQ10" s="10">
        <v>45081.852789351855</v>
      </c>
      <c r="AR10" s="11">
        <v>45081.852789351855</v>
      </c>
      <c r="AU10">
        <v>74</v>
      </c>
      <c r="AV10" t="s">
        <v>124</v>
      </c>
      <c r="AW10" t="s">
        <v>77</v>
      </c>
      <c r="AX10" t="s">
        <v>159</v>
      </c>
      <c r="AZ10" s="1">
        <v>45139.83216435185</v>
      </c>
      <c r="BA10" s="1">
        <v>45139.83216435185</v>
      </c>
      <c r="BN10">
        <v>364</v>
      </c>
      <c r="BO10" t="s">
        <v>206</v>
      </c>
      <c r="BP10" t="s">
        <v>207</v>
      </c>
      <c r="BQ10">
        <v>2250</v>
      </c>
      <c r="BR10" t="s">
        <v>198</v>
      </c>
      <c r="BS10" t="s">
        <v>194</v>
      </c>
      <c r="BT10" t="s">
        <v>43</v>
      </c>
      <c r="BU10" t="s">
        <v>199</v>
      </c>
      <c r="BV10" t="s">
        <v>209</v>
      </c>
      <c r="BW10" t="s">
        <v>188</v>
      </c>
      <c r="BX10" t="s">
        <v>188</v>
      </c>
      <c r="BY10" s="1">
        <v>45139.817858796298</v>
      </c>
      <c r="BZ10" s="1">
        <v>45139.887708333335</v>
      </c>
      <c r="CD10">
        <v>0</v>
      </c>
      <c r="CG10">
        <v>8</v>
      </c>
      <c r="CH10" t="s">
        <v>242</v>
      </c>
      <c r="CI10" t="s">
        <v>243</v>
      </c>
      <c r="CJ10" t="s">
        <v>244</v>
      </c>
      <c r="CK10" t="s">
        <v>226</v>
      </c>
      <c r="CL10" t="s">
        <v>245</v>
      </c>
      <c r="CM10" t="s">
        <v>40</v>
      </c>
      <c r="CN10" t="s">
        <v>193</v>
      </c>
      <c r="CO10" t="s">
        <v>185</v>
      </c>
      <c r="CP10">
        <v>0</v>
      </c>
      <c r="CR10" t="s">
        <v>246</v>
      </c>
      <c r="CS10" s="1">
        <v>45124.436342592591</v>
      </c>
      <c r="CT10" s="1">
        <v>45124.436342592591</v>
      </c>
    </row>
    <row r="11" spans="1:106" x14ac:dyDescent="0.3">
      <c r="K11">
        <v>186</v>
      </c>
      <c r="L11">
        <v>365</v>
      </c>
      <c r="M11" t="s">
        <v>54</v>
      </c>
      <c r="N11">
        <v>7800</v>
      </c>
      <c r="O11">
        <v>1</v>
      </c>
      <c r="P11" t="s">
        <v>50</v>
      </c>
      <c r="Q11" s="2">
        <v>45152</v>
      </c>
      <c r="R11">
        <v>0</v>
      </c>
      <c r="S11" t="s">
        <v>55</v>
      </c>
      <c r="T11" s="1">
        <v>45139.880127314813</v>
      </c>
      <c r="U11" s="1">
        <v>45139.880127314813</v>
      </c>
      <c r="V11" t="s">
        <v>226</v>
      </c>
      <c r="Y11">
        <v>307</v>
      </c>
      <c r="Z11">
        <v>365</v>
      </c>
      <c r="AA11" t="s">
        <v>77</v>
      </c>
      <c r="AB11" t="s">
        <v>69</v>
      </c>
      <c r="AE11" t="s">
        <v>79</v>
      </c>
      <c r="AF11" t="s">
        <v>71</v>
      </c>
      <c r="AH11" s="1">
        <v>45139.880312499998</v>
      </c>
      <c r="AI11" s="1">
        <v>45139.880312499998</v>
      </c>
      <c r="AL11" s="6" t="s">
        <v>69</v>
      </c>
      <c r="AM11" s="6" t="s">
        <v>137</v>
      </c>
      <c r="AN11" s="6" t="s">
        <v>113</v>
      </c>
      <c r="AO11" s="6" t="s">
        <v>119</v>
      </c>
      <c r="AP11" s="6" t="s">
        <v>138</v>
      </c>
      <c r="AQ11" s="8">
        <v>45101.572847222225</v>
      </c>
      <c r="AR11" s="9">
        <v>45101.572847222225</v>
      </c>
      <c r="AU11">
        <v>75</v>
      </c>
      <c r="AV11" t="s">
        <v>124</v>
      </c>
      <c r="AW11" t="s">
        <v>77</v>
      </c>
      <c r="AX11" t="s">
        <v>159</v>
      </c>
      <c r="AZ11" s="1">
        <v>45140.180821759262</v>
      </c>
      <c r="BA11" s="1">
        <v>45140.180821759262</v>
      </c>
      <c r="BN11">
        <v>365</v>
      </c>
      <c r="BO11" t="s">
        <v>210</v>
      </c>
      <c r="BP11" t="s">
        <v>207</v>
      </c>
      <c r="BQ11">
        <v>7800</v>
      </c>
      <c r="BR11" t="s">
        <v>211</v>
      </c>
      <c r="BS11" t="s">
        <v>194</v>
      </c>
      <c r="BT11" t="s">
        <v>50</v>
      </c>
      <c r="BU11" t="s">
        <v>199</v>
      </c>
      <c r="BW11" t="s">
        <v>189</v>
      </c>
      <c r="BX11" t="s">
        <v>189</v>
      </c>
      <c r="BY11" s="1">
        <v>45139.880046296297</v>
      </c>
      <c r="BZ11" s="1">
        <v>45139.880046296297</v>
      </c>
      <c r="CD11">
        <v>0</v>
      </c>
      <c r="CG11">
        <v>9</v>
      </c>
      <c r="CH11" t="s">
        <v>203</v>
      </c>
      <c r="CI11" t="s">
        <v>247</v>
      </c>
      <c r="CJ11" t="s">
        <v>232</v>
      </c>
      <c r="CK11" t="s">
        <v>226</v>
      </c>
      <c r="CL11" t="s">
        <v>204</v>
      </c>
      <c r="CM11" t="s">
        <v>40</v>
      </c>
      <c r="CN11" t="s">
        <v>198</v>
      </c>
      <c r="CO11" t="s">
        <v>194</v>
      </c>
      <c r="CP11">
        <v>5</v>
      </c>
      <c r="CR11" t="s">
        <v>248</v>
      </c>
      <c r="CS11" s="1">
        <v>45124.437372685185</v>
      </c>
      <c r="CT11" s="1">
        <v>45124.437372685185</v>
      </c>
    </row>
    <row r="12" spans="1:106" x14ac:dyDescent="0.3">
      <c r="K12">
        <v>188</v>
      </c>
      <c r="L12">
        <v>367</v>
      </c>
      <c r="M12" t="s">
        <v>47</v>
      </c>
      <c r="N12">
        <v>2900</v>
      </c>
      <c r="O12">
        <v>1</v>
      </c>
      <c r="P12" t="s">
        <v>43</v>
      </c>
      <c r="Q12" s="2">
        <v>45161</v>
      </c>
      <c r="R12">
        <v>0</v>
      </c>
      <c r="S12" t="s">
        <v>56</v>
      </c>
      <c r="T12" s="1">
        <v>45140.151990740742</v>
      </c>
      <c r="U12" s="1">
        <v>45140.151990740742</v>
      </c>
      <c r="V12" t="s">
        <v>226</v>
      </c>
      <c r="Y12">
        <v>308</v>
      </c>
      <c r="Z12">
        <v>367</v>
      </c>
      <c r="AA12" t="s">
        <v>29</v>
      </c>
      <c r="AB12" t="s">
        <v>85</v>
      </c>
      <c r="AE12" t="s">
        <v>70</v>
      </c>
      <c r="AF12" t="s">
        <v>84</v>
      </c>
      <c r="AH12" s="1">
        <v>45140.152280092596</v>
      </c>
      <c r="AI12" s="1">
        <v>45140.152280092596</v>
      </c>
      <c r="AL12" s="7" t="s">
        <v>85</v>
      </c>
      <c r="AM12" s="7" t="s">
        <v>142</v>
      </c>
      <c r="AN12" s="7" t="s">
        <v>143</v>
      </c>
      <c r="AO12" s="7" t="s">
        <v>97</v>
      </c>
      <c r="AP12" s="7" t="s">
        <v>144</v>
      </c>
      <c r="AQ12" s="10">
        <v>45102.226550925923</v>
      </c>
      <c r="AR12" s="11">
        <v>45102.226550925923</v>
      </c>
      <c r="AU12">
        <v>76</v>
      </c>
      <c r="AV12" t="s">
        <v>124</v>
      </c>
      <c r="AW12" t="s">
        <v>77</v>
      </c>
      <c r="AX12" t="s">
        <v>159</v>
      </c>
      <c r="AZ12" s="1">
        <v>45140.27275462963</v>
      </c>
      <c r="BA12" s="1">
        <v>45140.27275462963</v>
      </c>
      <c r="BN12">
        <v>367</v>
      </c>
      <c r="BO12" t="s">
        <v>200</v>
      </c>
      <c r="BP12" t="s">
        <v>201</v>
      </c>
      <c r="BQ12">
        <v>2900</v>
      </c>
      <c r="BR12" t="s">
        <v>198</v>
      </c>
      <c r="BS12" t="s">
        <v>185</v>
      </c>
      <c r="BT12" t="s">
        <v>43</v>
      </c>
      <c r="BU12" t="s">
        <v>205</v>
      </c>
      <c r="BV12" t="s">
        <v>212</v>
      </c>
      <c r="BW12" t="s">
        <v>202</v>
      </c>
      <c r="BX12" t="s">
        <v>188</v>
      </c>
      <c r="BY12" s="1">
        <v>45140.151909722219</v>
      </c>
      <c r="BZ12" s="1">
        <v>45140.154097222221</v>
      </c>
      <c r="CD12">
        <v>0</v>
      </c>
      <c r="CG12">
        <v>10</v>
      </c>
      <c r="CH12" t="s">
        <v>249</v>
      </c>
      <c r="CI12" t="s">
        <v>250</v>
      </c>
      <c r="CJ12" t="s">
        <v>225</v>
      </c>
      <c r="CK12" t="s">
        <v>226</v>
      </c>
      <c r="CL12" t="s">
        <v>251</v>
      </c>
      <c r="CM12" t="s">
        <v>40</v>
      </c>
      <c r="CN12" t="s">
        <v>198</v>
      </c>
      <c r="CO12" t="s">
        <v>194</v>
      </c>
      <c r="CP12">
        <v>0</v>
      </c>
      <c r="CR12" t="s">
        <v>230</v>
      </c>
      <c r="CS12" s="1">
        <v>45124.438032407408</v>
      </c>
      <c r="CT12" s="1">
        <v>45124.438032407408</v>
      </c>
    </row>
    <row r="13" spans="1:106" x14ac:dyDescent="0.3">
      <c r="K13">
        <v>189</v>
      </c>
      <c r="L13">
        <v>368</v>
      </c>
      <c r="M13" t="s">
        <v>39</v>
      </c>
      <c r="N13">
        <v>4200</v>
      </c>
      <c r="O13">
        <v>1</v>
      </c>
      <c r="P13" t="s">
        <v>40</v>
      </c>
      <c r="Q13" s="2">
        <v>45159</v>
      </c>
      <c r="R13">
        <v>0</v>
      </c>
      <c r="S13" t="s">
        <v>57</v>
      </c>
      <c r="T13" s="1">
        <v>45140.244351851848</v>
      </c>
      <c r="U13" s="1">
        <v>45140.244351851848</v>
      </c>
      <c r="V13" t="s">
        <v>226</v>
      </c>
      <c r="Y13">
        <v>309</v>
      </c>
      <c r="Z13">
        <v>368</v>
      </c>
      <c r="AA13" t="s">
        <v>29</v>
      </c>
      <c r="AB13" t="s">
        <v>73</v>
      </c>
      <c r="AE13" t="s">
        <v>70</v>
      </c>
      <c r="AF13" t="s">
        <v>84</v>
      </c>
      <c r="AH13" s="1">
        <v>45140.244664351849</v>
      </c>
      <c r="AI13" s="1">
        <v>45140.244664351849</v>
      </c>
      <c r="AL13" s="6" t="s">
        <v>147</v>
      </c>
      <c r="AM13" s="6" t="s">
        <v>148</v>
      </c>
      <c r="AN13" s="6" t="s">
        <v>101</v>
      </c>
      <c r="AO13" s="6" t="s">
        <v>97</v>
      </c>
      <c r="AP13" s="6" t="s">
        <v>149</v>
      </c>
      <c r="AQ13" s="8">
        <v>45134.280995370369</v>
      </c>
      <c r="AR13" s="9">
        <v>45134.280995370369</v>
      </c>
      <c r="AU13">
        <v>77</v>
      </c>
      <c r="AV13" t="s">
        <v>124</v>
      </c>
      <c r="AW13" t="s">
        <v>77</v>
      </c>
      <c r="AX13" t="s">
        <v>162</v>
      </c>
      <c r="AZ13" s="1">
        <v>45141.294108796297</v>
      </c>
      <c r="BA13" s="1">
        <v>45141.294108796297</v>
      </c>
      <c r="BN13">
        <v>368</v>
      </c>
      <c r="BO13" t="s">
        <v>182</v>
      </c>
      <c r="BP13" t="s">
        <v>183</v>
      </c>
      <c r="BQ13">
        <v>4200</v>
      </c>
      <c r="BR13" t="s">
        <v>184</v>
      </c>
      <c r="BS13" t="s">
        <v>185</v>
      </c>
      <c r="BT13" t="s">
        <v>40</v>
      </c>
      <c r="BU13" t="s">
        <v>199</v>
      </c>
      <c r="BW13" t="s">
        <v>202</v>
      </c>
      <c r="BX13" t="s">
        <v>189</v>
      </c>
      <c r="BY13" s="1">
        <v>45140.244270833333</v>
      </c>
      <c r="BZ13" s="1">
        <v>45140.245324074072</v>
      </c>
      <c r="CC13" t="s">
        <v>190</v>
      </c>
      <c r="CD13">
        <v>0</v>
      </c>
      <c r="CG13">
        <v>11</v>
      </c>
      <c r="CH13" t="s">
        <v>252</v>
      </c>
      <c r="CI13" t="s">
        <v>253</v>
      </c>
      <c r="CJ13" t="s">
        <v>254</v>
      </c>
      <c r="CK13" t="s">
        <v>226</v>
      </c>
      <c r="CL13" t="s">
        <v>255</v>
      </c>
      <c r="CM13" t="s">
        <v>236</v>
      </c>
      <c r="CN13" t="s">
        <v>198</v>
      </c>
      <c r="CO13" t="s">
        <v>185</v>
      </c>
      <c r="CP13">
        <v>0</v>
      </c>
      <c r="CR13" t="s">
        <v>248</v>
      </c>
      <c r="CS13" s="1">
        <v>45124.438969907409</v>
      </c>
      <c r="CT13" s="1">
        <v>45124.438969907409</v>
      </c>
    </row>
    <row r="14" spans="1:106" x14ac:dyDescent="0.3">
      <c r="K14">
        <v>190</v>
      </c>
      <c r="L14">
        <v>369</v>
      </c>
      <c r="M14" t="s">
        <v>45</v>
      </c>
      <c r="N14">
        <v>2650</v>
      </c>
      <c r="O14">
        <v>1</v>
      </c>
      <c r="P14" t="s">
        <v>43</v>
      </c>
      <c r="Q14" s="2">
        <v>45160</v>
      </c>
      <c r="R14">
        <v>0</v>
      </c>
      <c r="S14" t="s">
        <v>58</v>
      </c>
      <c r="T14" s="1">
        <v>45140.245949074073</v>
      </c>
      <c r="U14" s="1">
        <v>45140.245949074073</v>
      </c>
      <c r="V14" t="s">
        <v>226</v>
      </c>
      <c r="Y14">
        <v>310</v>
      </c>
      <c r="Z14">
        <v>369</v>
      </c>
      <c r="AA14" t="s">
        <v>72</v>
      </c>
      <c r="AB14" t="s">
        <v>73</v>
      </c>
      <c r="AE14" t="s">
        <v>79</v>
      </c>
      <c r="AF14" t="s">
        <v>71</v>
      </c>
      <c r="AH14" s="1">
        <v>45140.247199074074</v>
      </c>
      <c r="AI14" s="1">
        <v>45140.247199074074</v>
      </c>
      <c r="AL14" s="7" t="s">
        <v>153</v>
      </c>
      <c r="AM14" s="7" t="s">
        <v>154</v>
      </c>
      <c r="AN14" s="7" t="s">
        <v>155</v>
      </c>
      <c r="AO14" s="7" t="s">
        <v>97</v>
      </c>
      <c r="AP14" s="7" t="s">
        <v>156</v>
      </c>
      <c r="AQ14" s="10">
        <v>45134.416412037041</v>
      </c>
      <c r="AR14" s="11">
        <v>45134.416412037041</v>
      </c>
      <c r="BN14">
        <v>369</v>
      </c>
      <c r="BO14" t="s">
        <v>196</v>
      </c>
      <c r="BP14" t="s">
        <v>197</v>
      </c>
      <c r="BQ14">
        <v>2650</v>
      </c>
      <c r="BR14" t="s">
        <v>198</v>
      </c>
      <c r="BS14" t="s">
        <v>185</v>
      </c>
      <c r="BT14" t="s">
        <v>43</v>
      </c>
      <c r="BU14" t="s">
        <v>205</v>
      </c>
      <c r="BW14" t="s">
        <v>189</v>
      </c>
      <c r="BX14" t="s">
        <v>189</v>
      </c>
      <c r="BY14" s="1">
        <v>45140.245879629627</v>
      </c>
      <c r="BZ14" s="1">
        <v>45140.245879629627</v>
      </c>
      <c r="CD14">
        <v>0</v>
      </c>
      <c r="CG14">
        <v>12</v>
      </c>
      <c r="CH14" t="s">
        <v>256</v>
      </c>
      <c r="CI14" t="s">
        <v>257</v>
      </c>
      <c r="CJ14" t="s">
        <v>254</v>
      </c>
      <c r="CK14" t="s">
        <v>226</v>
      </c>
      <c r="CL14" t="s">
        <v>258</v>
      </c>
      <c r="CM14" t="s">
        <v>236</v>
      </c>
      <c r="CN14" t="s">
        <v>193</v>
      </c>
      <c r="CO14" t="s">
        <v>185</v>
      </c>
      <c r="CP14">
        <v>5</v>
      </c>
      <c r="CR14" t="s">
        <v>259</v>
      </c>
      <c r="CS14" s="1">
        <v>45124.440011574072</v>
      </c>
      <c r="CT14" s="1">
        <v>45124.440011574072</v>
      </c>
    </row>
    <row r="15" spans="1:106" x14ac:dyDescent="0.3">
      <c r="K15">
        <v>193</v>
      </c>
      <c r="L15">
        <v>371</v>
      </c>
      <c r="M15" t="s">
        <v>60</v>
      </c>
      <c r="N15">
        <v>4500</v>
      </c>
      <c r="O15">
        <v>1</v>
      </c>
      <c r="P15" t="s">
        <v>40</v>
      </c>
      <c r="Q15" s="2">
        <v>45161</v>
      </c>
      <c r="R15">
        <v>0</v>
      </c>
      <c r="S15" t="s">
        <v>41</v>
      </c>
      <c r="T15" s="1">
        <v>45140.271053240744</v>
      </c>
      <c r="U15" s="1">
        <v>45140.271053240744</v>
      </c>
      <c r="V15" t="s">
        <v>226</v>
      </c>
      <c r="Y15">
        <v>311</v>
      </c>
      <c r="Z15">
        <v>370</v>
      </c>
      <c r="AA15" t="s">
        <v>29</v>
      </c>
      <c r="AB15" t="s">
        <v>69</v>
      </c>
      <c r="AE15" t="s">
        <v>70</v>
      </c>
      <c r="AF15" t="s">
        <v>84</v>
      </c>
      <c r="AH15" s="1">
        <v>45140.269930555558</v>
      </c>
      <c r="AI15" s="1">
        <v>45140.269930555558</v>
      </c>
      <c r="BN15">
        <v>370</v>
      </c>
      <c r="BO15" t="s">
        <v>182</v>
      </c>
      <c r="BP15" t="s">
        <v>183</v>
      </c>
      <c r="BQ15">
        <v>6700</v>
      </c>
      <c r="BR15" t="s">
        <v>184</v>
      </c>
      <c r="BS15" t="s">
        <v>185</v>
      </c>
      <c r="BT15" t="s">
        <v>50</v>
      </c>
      <c r="BU15" t="s">
        <v>205</v>
      </c>
      <c r="BW15" t="s">
        <v>202</v>
      </c>
      <c r="BX15" t="s">
        <v>189</v>
      </c>
      <c r="BY15" s="1">
        <v>45140.26767361111</v>
      </c>
      <c r="BZ15" s="1">
        <v>45140.270752314813</v>
      </c>
      <c r="CC15" t="s">
        <v>190</v>
      </c>
      <c r="CD15">
        <v>0</v>
      </c>
      <c r="CG15">
        <v>13</v>
      </c>
      <c r="CH15" t="s">
        <v>260</v>
      </c>
      <c r="CI15" t="s">
        <v>261</v>
      </c>
      <c r="CJ15" t="s">
        <v>262</v>
      </c>
      <c r="CK15" t="s">
        <v>226</v>
      </c>
      <c r="CL15" t="s">
        <v>263</v>
      </c>
      <c r="CM15" t="s">
        <v>236</v>
      </c>
      <c r="CN15" t="s">
        <v>184</v>
      </c>
      <c r="CO15" t="s">
        <v>198</v>
      </c>
      <c r="CP15">
        <v>0</v>
      </c>
      <c r="CR15" t="s">
        <v>230</v>
      </c>
      <c r="CS15" s="1">
        <v>45124.441851851851</v>
      </c>
      <c r="CT15" s="1">
        <v>45124.441851851851</v>
      </c>
    </row>
    <row r="16" spans="1:106" x14ac:dyDescent="0.3">
      <c r="K16">
        <v>194</v>
      </c>
      <c r="L16">
        <v>373</v>
      </c>
      <c r="M16" t="s">
        <v>42</v>
      </c>
      <c r="N16">
        <v>5400</v>
      </c>
      <c r="O16">
        <v>1</v>
      </c>
      <c r="P16" t="s">
        <v>40</v>
      </c>
      <c r="Q16" s="2">
        <v>45173</v>
      </c>
      <c r="R16">
        <v>0</v>
      </c>
      <c r="S16" t="s">
        <v>61</v>
      </c>
      <c r="T16" s="1">
        <v>45143.562337962961</v>
      </c>
      <c r="U16" s="1">
        <v>45143.562337962961</v>
      </c>
      <c r="V16" t="s">
        <v>226</v>
      </c>
      <c r="Y16">
        <v>312</v>
      </c>
      <c r="Z16">
        <v>371</v>
      </c>
      <c r="AA16" t="s">
        <v>72</v>
      </c>
      <c r="AB16" t="s">
        <v>73</v>
      </c>
      <c r="AE16" t="s">
        <v>79</v>
      </c>
      <c r="AF16" t="s">
        <v>71</v>
      </c>
      <c r="AH16" s="1">
        <v>45140.271168981482</v>
      </c>
      <c r="AI16" s="1">
        <v>45140.271168981482</v>
      </c>
      <c r="BN16">
        <v>371</v>
      </c>
      <c r="BO16" t="s">
        <v>213</v>
      </c>
      <c r="BP16" t="s">
        <v>214</v>
      </c>
      <c r="BQ16">
        <v>4500</v>
      </c>
      <c r="BR16" t="s">
        <v>198</v>
      </c>
      <c r="BS16" t="s">
        <v>194</v>
      </c>
      <c r="BT16" t="s">
        <v>40</v>
      </c>
      <c r="BU16" t="s">
        <v>199</v>
      </c>
      <c r="BW16" t="s">
        <v>189</v>
      </c>
      <c r="BX16" t="s">
        <v>189</v>
      </c>
      <c r="BY16" s="1">
        <v>45140.271006944444</v>
      </c>
      <c r="BZ16" s="1">
        <v>45140.271006944444</v>
      </c>
      <c r="CD16">
        <v>0</v>
      </c>
      <c r="CG16">
        <v>14</v>
      </c>
      <c r="CH16" t="s">
        <v>210</v>
      </c>
      <c r="CI16" t="s">
        <v>264</v>
      </c>
      <c r="CJ16" t="s">
        <v>265</v>
      </c>
      <c r="CK16" t="s">
        <v>226</v>
      </c>
      <c r="CL16" t="s">
        <v>207</v>
      </c>
      <c r="CM16" t="s">
        <v>40</v>
      </c>
      <c r="CN16" t="s">
        <v>211</v>
      </c>
      <c r="CO16" t="s">
        <v>194</v>
      </c>
      <c r="CP16">
        <v>5</v>
      </c>
      <c r="CR16" t="s">
        <v>266</v>
      </c>
      <c r="CS16" s="1">
        <v>45124.442766203705</v>
      </c>
      <c r="CT16" s="1">
        <v>45124.442766203705</v>
      </c>
    </row>
    <row r="17" spans="11:98" x14ac:dyDescent="0.3">
      <c r="K17">
        <v>195</v>
      </c>
      <c r="L17">
        <v>374</v>
      </c>
      <c r="M17" t="s">
        <v>39</v>
      </c>
      <c r="N17">
        <v>50</v>
      </c>
      <c r="O17">
        <v>500</v>
      </c>
      <c r="P17" t="s">
        <v>304</v>
      </c>
      <c r="Q17" s="2">
        <v>45179</v>
      </c>
      <c r="R17">
        <v>1</v>
      </c>
      <c r="S17" t="s">
        <v>378</v>
      </c>
      <c r="T17" s="1">
        <v>45155.217083333337</v>
      </c>
      <c r="U17" s="1">
        <v>45155.217083333337</v>
      </c>
      <c r="V17" t="s">
        <v>303</v>
      </c>
      <c r="Y17">
        <v>313</v>
      </c>
      <c r="Z17">
        <v>373</v>
      </c>
      <c r="AA17" t="s">
        <v>29</v>
      </c>
      <c r="AB17" t="s">
        <v>73</v>
      </c>
      <c r="AE17" t="s">
        <v>70</v>
      </c>
      <c r="AF17" t="s">
        <v>71</v>
      </c>
      <c r="AH17" s="1">
        <v>45143.562465277777</v>
      </c>
      <c r="AI17" s="1">
        <v>45143.562465277777</v>
      </c>
      <c r="BN17">
        <v>372</v>
      </c>
      <c r="BO17" t="s">
        <v>182</v>
      </c>
      <c r="BP17" t="s">
        <v>183</v>
      </c>
      <c r="BQ17">
        <v>4500</v>
      </c>
      <c r="BR17" t="s">
        <v>184</v>
      </c>
      <c r="BS17" t="s">
        <v>185</v>
      </c>
      <c r="BT17" t="s">
        <v>40</v>
      </c>
      <c r="BU17" t="s">
        <v>186</v>
      </c>
      <c r="BW17" t="s">
        <v>189</v>
      </c>
      <c r="BX17" t="s">
        <v>188</v>
      </c>
      <c r="BY17" s="1">
        <v>45141.292592592596</v>
      </c>
      <c r="BZ17" s="1">
        <v>45141.292592592596</v>
      </c>
      <c r="CC17" t="s">
        <v>190</v>
      </c>
      <c r="CD17">
        <v>0</v>
      </c>
      <c r="CG17">
        <v>15</v>
      </c>
      <c r="CH17" t="s">
        <v>267</v>
      </c>
      <c r="CI17" t="s">
        <v>268</v>
      </c>
      <c r="CJ17" t="s">
        <v>229</v>
      </c>
      <c r="CK17" t="s">
        <v>226</v>
      </c>
      <c r="CL17" t="s">
        <v>269</v>
      </c>
      <c r="CM17" t="s">
        <v>40</v>
      </c>
      <c r="CN17" t="s">
        <v>193</v>
      </c>
      <c r="CO17" t="s">
        <v>185</v>
      </c>
      <c r="CP17">
        <v>0</v>
      </c>
      <c r="CR17" t="s">
        <v>227</v>
      </c>
      <c r="CS17" s="1">
        <v>45124.443622685183</v>
      </c>
      <c r="CT17" s="1">
        <v>45124.443622685183</v>
      </c>
    </row>
    <row r="18" spans="11:98" x14ac:dyDescent="0.3">
      <c r="K18">
        <v>196</v>
      </c>
      <c r="L18">
        <v>375</v>
      </c>
      <c r="M18" t="s">
        <v>379</v>
      </c>
      <c r="N18">
        <v>80</v>
      </c>
      <c r="O18">
        <v>200</v>
      </c>
      <c r="P18" t="s">
        <v>304</v>
      </c>
      <c r="Q18" s="2">
        <v>45181</v>
      </c>
      <c r="R18">
        <v>1</v>
      </c>
      <c r="S18" t="s">
        <v>380</v>
      </c>
      <c r="T18" s="1">
        <v>45156.182129629633</v>
      </c>
      <c r="U18" s="1">
        <v>45156.182129629633</v>
      </c>
      <c r="V18" t="s">
        <v>303</v>
      </c>
      <c r="BN18">
        <v>373</v>
      </c>
      <c r="BO18" t="s">
        <v>191</v>
      </c>
      <c r="BP18" t="s">
        <v>192</v>
      </c>
      <c r="BQ18">
        <v>5400</v>
      </c>
      <c r="BR18" t="s">
        <v>193</v>
      </c>
      <c r="BS18" t="s">
        <v>194</v>
      </c>
      <c r="BT18" t="s">
        <v>40</v>
      </c>
      <c r="BU18" t="s">
        <v>205</v>
      </c>
      <c r="BW18" t="s">
        <v>188</v>
      </c>
      <c r="BX18" t="s">
        <v>189</v>
      </c>
      <c r="BY18" s="1">
        <v>45143.561759259261</v>
      </c>
      <c r="BZ18" s="1">
        <v>45143.5625</v>
      </c>
      <c r="CD18">
        <v>0</v>
      </c>
      <c r="CG18">
        <v>16</v>
      </c>
      <c r="CH18" t="s">
        <v>270</v>
      </c>
      <c r="CI18" t="s">
        <v>271</v>
      </c>
      <c r="CJ18" t="s">
        <v>272</v>
      </c>
      <c r="CK18" t="s">
        <v>226</v>
      </c>
      <c r="CL18" t="s">
        <v>273</v>
      </c>
      <c r="CM18" t="s">
        <v>40</v>
      </c>
      <c r="CN18" t="s">
        <v>198</v>
      </c>
      <c r="CO18" t="s">
        <v>185</v>
      </c>
      <c r="CP18">
        <v>4</v>
      </c>
      <c r="CR18" t="s">
        <v>248</v>
      </c>
      <c r="CS18" s="1">
        <v>45127.725821759261</v>
      </c>
      <c r="CT18" s="1">
        <v>45127.725821759261</v>
      </c>
    </row>
    <row r="19" spans="11:98" x14ac:dyDescent="0.3">
      <c r="K19">
        <v>197</v>
      </c>
      <c r="L19">
        <v>376</v>
      </c>
      <c r="M19" t="s">
        <v>381</v>
      </c>
      <c r="N19">
        <v>100</v>
      </c>
      <c r="O19">
        <v>150</v>
      </c>
      <c r="P19" t="s">
        <v>304</v>
      </c>
      <c r="Q19" s="2">
        <v>45183</v>
      </c>
      <c r="R19">
        <v>1</v>
      </c>
      <c r="S19" t="s">
        <v>340</v>
      </c>
      <c r="T19" s="1">
        <v>45156.260625000003</v>
      </c>
      <c r="U19" s="1">
        <v>45156.260625000003</v>
      </c>
      <c r="V19" t="s">
        <v>303</v>
      </c>
      <c r="CG19">
        <v>17</v>
      </c>
      <c r="CH19" t="s">
        <v>274</v>
      </c>
      <c r="CI19" t="s">
        <v>275</v>
      </c>
      <c r="CJ19" t="s">
        <v>262</v>
      </c>
      <c r="CK19" t="s">
        <v>226</v>
      </c>
      <c r="CL19" t="s">
        <v>276</v>
      </c>
      <c r="CM19" t="s">
        <v>236</v>
      </c>
      <c r="CN19" t="s">
        <v>193</v>
      </c>
      <c r="CO19" t="s">
        <v>194</v>
      </c>
      <c r="CP19">
        <v>0</v>
      </c>
      <c r="CR19" t="s">
        <v>227</v>
      </c>
      <c r="CS19" s="1">
        <v>45138.449918981481</v>
      </c>
      <c r="CT19" s="1">
        <v>45138.449918981481</v>
      </c>
    </row>
    <row r="20" spans="11:98" x14ac:dyDescent="0.3">
      <c r="K20">
        <v>198</v>
      </c>
      <c r="L20">
        <v>377</v>
      </c>
      <c r="M20" t="s">
        <v>382</v>
      </c>
      <c r="N20">
        <v>3000</v>
      </c>
      <c r="O20">
        <v>1</v>
      </c>
      <c r="P20" t="s">
        <v>304</v>
      </c>
      <c r="Q20" s="2">
        <v>45185</v>
      </c>
      <c r="R20">
        <v>1</v>
      </c>
      <c r="S20" t="s">
        <v>383</v>
      </c>
      <c r="T20" s="1">
        <v>45157.218935185185</v>
      </c>
      <c r="U20" s="1">
        <v>45157.218935185185</v>
      </c>
      <c r="V20" t="s">
        <v>320</v>
      </c>
      <c r="CG20">
        <v>18</v>
      </c>
      <c r="CH20" t="s">
        <v>277</v>
      </c>
      <c r="CI20" t="s">
        <v>278</v>
      </c>
      <c r="CJ20" t="s">
        <v>229</v>
      </c>
      <c r="CK20" t="s">
        <v>226</v>
      </c>
      <c r="CL20" t="s">
        <v>279</v>
      </c>
      <c r="CM20" t="s">
        <v>40</v>
      </c>
      <c r="CN20" t="s">
        <v>211</v>
      </c>
      <c r="CO20" t="s">
        <v>194</v>
      </c>
      <c r="CP20">
        <v>0</v>
      </c>
      <c r="CR20" t="s">
        <v>246</v>
      </c>
      <c r="CS20" s="1">
        <v>45139.342824074076</v>
      </c>
      <c r="CT20" s="1">
        <v>45139.342824074076</v>
      </c>
    </row>
    <row r="21" spans="11:98" x14ac:dyDescent="0.3">
      <c r="K21">
        <v>199</v>
      </c>
      <c r="L21">
        <v>378</v>
      </c>
      <c r="M21" t="s">
        <v>384</v>
      </c>
      <c r="N21">
        <v>4500</v>
      </c>
      <c r="O21">
        <v>1</v>
      </c>
      <c r="P21" t="s">
        <v>304</v>
      </c>
      <c r="Q21" s="2">
        <v>45188</v>
      </c>
      <c r="R21">
        <v>1</v>
      </c>
      <c r="S21" t="s">
        <v>229</v>
      </c>
      <c r="T21" s="1">
        <v>45158.307152777779</v>
      </c>
      <c r="U21" s="1">
        <v>45158.307152777779</v>
      </c>
      <c r="V21" t="s">
        <v>320</v>
      </c>
      <c r="CG21">
        <v>19</v>
      </c>
      <c r="CH21" t="s">
        <v>280</v>
      </c>
      <c r="CI21" t="s">
        <v>281</v>
      </c>
      <c r="CJ21" t="s">
        <v>229</v>
      </c>
      <c r="CK21" t="s">
        <v>226</v>
      </c>
      <c r="CL21" t="s">
        <v>282</v>
      </c>
      <c r="CM21" t="s">
        <v>40</v>
      </c>
      <c r="CN21" t="s">
        <v>193</v>
      </c>
      <c r="CO21" t="s">
        <v>185</v>
      </c>
      <c r="CP21">
        <v>0</v>
      </c>
      <c r="CR21" t="s">
        <v>227</v>
      </c>
      <c r="CS21" s="1">
        <v>45139.876782407409</v>
      </c>
      <c r="CT21" s="1">
        <v>45139.876782407409</v>
      </c>
    </row>
    <row r="22" spans="11:98" x14ac:dyDescent="0.3">
      <c r="K22">
        <v>200</v>
      </c>
      <c r="L22">
        <v>379</v>
      </c>
      <c r="M22" t="s">
        <v>385</v>
      </c>
      <c r="N22">
        <v>100</v>
      </c>
      <c r="O22">
        <v>30</v>
      </c>
      <c r="P22" t="s">
        <v>304</v>
      </c>
      <c r="Q22" s="2">
        <v>45193</v>
      </c>
      <c r="R22">
        <v>0</v>
      </c>
      <c r="S22" t="s">
        <v>383</v>
      </c>
      <c r="T22" s="1">
        <v>45159.387685185182</v>
      </c>
      <c r="U22" s="1">
        <v>45159.387685185182</v>
      </c>
      <c r="V22" t="s">
        <v>345</v>
      </c>
      <c r="CG22">
        <v>20</v>
      </c>
      <c r="CH22" t="s">
        <v>283</v>
      </c>
      <c r="CI22" t="s">
        <v>284</v>
      </c>
      <c r="CJ22" t="s">
        <v>285</v>
      </c>
      <c r="CK22" t="s">
        <v>226</v>
      </c>
      <c r="CL22" t="s">
        <v>286</v>
      </c>
      <c r="CM22" t="s">
        <v>40</v>
      </c>
      <c r="CN22" t="s">
        <v>287</v>
      </c>
      <c r="CO22" t="s">
        <v>185</v>
      </c>
      <c r="CP22">
        <v>0</v>
      </c>
      <c r="CR22" t="s">
        <v>233</v>
      </c>
      <c r="CS22" s="1">
        <v>45140.185856481483</v>
      </c>
      <c r="CT22" s="1">
        <v>45140.185856481483</v>
      </c>
    </row>
    <row r="23" spans="11:98" x14ac:dyDescent="0.3">
      <c r="K23">
        <v>201</v>
      </c>
      <c r="L23">
        <v>380</v>
      </c>
      <c r="M23" t="s">
        <v>386</v>
      </c>
      <c r="N23">
        <v>80</v>
      </c>
      <c r="O23">
        <v>50</v>
      </c>
      <c r="P23" t="s">
        <v>304</v>
      </c>
      <c r="Q23" s="2">
        <v>45189</v>
      </c>
      <c r="R23">
        <v>1</v>
      </c>
      <c r="S23" t="s">
        <v>387</v>
      </c>
      <c r="T23" s="1">
        <v>45160.217187499999</v>
      </c>
      <c r="U23" s="1">
        <v>45160.217187499999</v>
      </c>
      <c r="V23" t="s">
        <v>345</v>
      </c>
      <c r="CG23">
        <v>21</v>
      </c>
      <c r="CH23" t="s">
        <v>300</v>
      </c>
      <c r="CI23" t="s">
        <v>301</v>
      </c>
      <c r="CJ23" t="s">
        <v>302</v>
      </c>
      <c r="CK23" t="s">
        <v>303</v>
      </c>
      <c r="CL23" t="s">
        <v>304</v>
      </c>
      <c r="CM23" t="s">
        <v>305</v>
      </c>
      <c r="CN23" t="s">
        <v>304</v>
      </c>
      <c r="CO23" t="s">
        <v>304</v>
      </c>
      <c r="CP23">
        <v>5</v>
      </c>
      <c r="CQ23" t="s">
        <v>306</v>
      </c>
      <c r="CR23" t="s">
        <v>304</v>
      </c>
      <c r="CS23" s="1">
        <v>45141.229722222219</v>
      </c>
      <c r="CT23" s="1">
        <v>45141.229722222219</v>
      </c>
    </row>
    <row r="24" spans="11:98" x14ac:dyDescent="0.3">
      <c r="K24">
        <v>202</v>
      </c>
      <c r="L24">
        <v>381</v>
      </c>
      <c r="M24" t="s">
        <v>388</v>
      </c>
      <c r="N24">
        <v>110</v>
      </c>
      <c r="O24">
        <v>40</v>
      </c>
      <c r="P24" t="s">
        <v>304</v>
      </c>
      <c r="Q24" s="2">
        <v>45189</v>
      </c>
      <c r="R24">
        <v>1</v>
      </c>
      <c r="S24" t="s">
        <v>389</v>
      </c>
      <c r="T24" s="1">
        <v>45162.314884259256</v>
      </c>
      <c r="U24" s="1">
        <v>45162.314884259256</v>
      </c>
      <c r="V24" t="s">
        <v>345</v>
      </c>
      <c r="CG24">
        <v>22</v>
      </c>
      <c r="CH24" t="s">
        <v>307</v>
      </c>
      <c r="CI24" t="s">
        <v>308</v>
      </c>
      <c r="CJ24" t="s">
        <v>309</v>
      </c>
      <c r="CK24" t="s">
        <v>303</v>
      </c>
      <c r="CL24" t="s">
        <v>304</v>
      </c>
      <c r="CM24" t="s">
        <v>305</v>
      </c>
      <c r="CN24" t="s">
        <v>304</v>
      </c>
      <c r="CO24" t="s">
        <v>304</v>
      </c>
      <c r="CP24">
        <v>4</v>
      </c>
      <c r="CQ24" t="s">
        <v>310</v>
      </c>
      <c r="CR24" t="s">
        <v>304</v>
      </c>
      <c r="CS24" s="1">
        <v>45141.233101851853</v>
      </c>
      <c r="CT24" s="1">
        <v>45141.233101851853</v>
      </c>
    </row>
    <row r="25" spans="11:98" x14ac:dyDescent="0.3">
      <c r="K25">
        <v>203</v>
      </c>
      <c r="L25">
        <v>382</v>
      </c>
      <c r="M25" t="s">
        <v>390</v>
      </c>
      <c r="N25">
        <v>15000</v>
      </c>
      <c r="O25">
        <v>1</v>
      </c>
      <c r="P25" t="s">
        <v>304</v>
      </c>
      <c r="Q25" s="2">
        <v>45195</v>
      </c>
      <c r="R25">
        <v>0</v>
      </c>
      <c r="S25" t="s">
        <v>340</v>
      </c>
      <c r="T25" s="1">
        <v>45163.345324074071</v>
      </c>
      <c r="U25" s="1">
        <v>45163.345324074071</v>
      </c>
      <c r="V25" t="s">
        <v>328</v>
      </c>
      <c r="CG25">
        <v>23</v>
      </c>
      <c r="CH25" t="s">
        <v>311</v>
      </c>
      <c r="CI25" t="s">
        <v>312</v>
      </c>
      <c r="CJ25" t="s">
        <v>313</v>
      </c>
      <c r="CK25" t="s">
        <v>303</v>
      </c>
      <c r="CL25" t="s">
        <v>304</v>
      </c>
      <c r="CM25" t="s">
        <v>305</v>
      </c>
      <c r="CN25" t="s">
        <v>304</v>
      </c>
      <c r="CO25" t="s">
        <v>304</v>
      </c>
      <c r="CP25">
        <v>0</v>
      </c>
      <c r="CQ25" t="s">
        <v>304</v>
      </c>
      <c r="CR25" t="s">
        <v>304</v>
      </c>
      <c r="CS25" s="1">
        <v>45141.272685185184</v>
      </c>
      <c r="CT25" s="1">
        <v>45141.272685185184</v>
      </c>
    </row>
    <row r="26" spans="11:98" x14ac:dyDescent="0.3">
      <c r="K26">
        <v>204</v>
      </c>
      <c r="L26">
        <v>383</v>
      </c>
      <c r="M26" t="s">
        <v>391</v>
      </c>
      <c r="N26">
        <v>18000</v>
      </c>
      <c r="O26">
        <v>1</v>
      </c>
      <c r="P26" t="s">
        <v>304</v>
      </c>
      <c r="Q26" s="2">
        <v>45198</v>
      </c>
      <c r="R26">
        <v>0</v>
      </c>
      <c r="S26" t="s">
        <v>392</v>
      </c>
      <c r="T26" s="1">
        <v>45166.427569444444</v>
      </c>
      <c r="U26" s="1">
        <v>45166.427569444444</v>
      </c>
      <c r="V26" t="s">
        <v>328</v>
      </c>
      <c r="CG26">
        <v>24</v>
      </c>
      <c r="CH26" t="s">
        <v>314</v>
      </c>
      <c r="CI26" t="s">
        <v>315</v>
      </c>
      <c r="CJ26" t="s">
        <v>316</v>
      </c>
      <c r="CK26" t="s">
        <v>303</v>
      </c>
      <c r="CL26" t="s">
        <v>304</v>
      </c>
      <c r="CM26" t="s">
        <v>305</v>
      </c>
      <c r="CN26" t="s">
        <v>304</v>
      </c>
      <c r="CO26" t="s">
        <v>304</v>
      </c>
      <c r="CP26">
        <v>0</v>
      </c>
      <c r="CQ26" t="s">
        <v>304</v>
      </c>
      <c r="CR26" t="s">
        <v>304</v>
      </c>
      <c r="CS26" s="1">
        <v>45142.243298611109</v>
      </c>
      <c r="CT26" s="1">
        <v>45142.243298611109</v>
      </c>
    </row>
    <row r="27" spans="11:98" x14ac:dyDescent="0.3">
      <c r="CG27">
        <v>25</v>
      </c>
      <c r="CH27" t="s">
        <v>317</v>
      </c>
      <c r="CI27" t="s">
        <v>318</v>
      </c>
      <c r="CJ27" t="s">
        <v>319</v>
      </c>
      <c r="CK27" t="s">
        <v>320</v>
      </c>
      <c r="CL27" t="s">
        <v>304</v>
      </c>
      <c r="CM27" t="s">
        <v>40</v>
      </c>
      <c r="CN27" t="s">
        <v>193</v>
      </c>
      <c r="CO27" t="s">
        <v>185</v>
      </c>
      <c r="CP27">
        <v>5</v>
      </c>
      <c r="CQ27" t="s">
        <v>321</v>
      </c>
      <c r="CR27" t="s">
        <v>304</v>
      </c>
      <c r="CS27" s="1">
        <v>45142.364930555559</v>
      </c>
      <c r="CT27" s="1">
        <v>45142.364930555559</v>
      </c>
    </row>
    <row r="28" spans="11:98" x14ac:dyDescent="0.3">
      <c r="CG28">
        <v>26</v>
      </c>
      <c r="CH28" t="s">
        <v>322</v>
      </c>
      <c r="CI28" t="s">
        <v>323</v>
      </c>
      <c r="CJ28" t="s">
        <v>324</v>
      </c>
      <c r="CK28" t="s">
        <v>320</v>
      </c>
      <c r="CL28" t="s">
        <v>304</v>
      </c>
      <c r="CM28" t="s">
        <v>40</v>
      </c>
      <c r="CN28" t="s">
        <v>198</v>
      </c>
      <c r="CO28" t="s">
        <v>198</v>
      </c>
      <c r="CP28">
        <v>4</v>
      </c>
      <c r="CQ28" t="s">
        <v>304</v>
      </c>
      <c r="CR28" t="s">
        <v>304</v>
      </c>
      <c r="CS28" s="1">
        <v>45142.382187499999</v>
      </c>
      <c r="CT28" s="1">
        <v>45142.382187499999</v>
      </c>
    </row>
    <row r="29" spans="11:98" x14ac:dyDescent="0.3">
      <c r="CG29">
        <v>27</v>
      </c>
      <c r="CH29" t="s">
        <v>325</v>
      </c>
      <c r="CI29" t="s">
        <v>326</v>
      </c>
      <c r="CJ29" t="s">
        <v>327</v>
      </c>
      <c r="CK29" t="s">
        <v>328</v>
      </c>
      <c r="CL29" t="s">
        <v>304</v>
      </c>
      <c r="CM29" t="s">
        <v>329</v>
      </c>
      <c r="CN29" t="s">
        <v>193</v>
      </c>
      <c r="CO29" t="s">
        <v>194</v>
      </c>
      <c r="CP29">
        <v>5</v>
      </c>
      <c r="CQ29" t="s">
        <v>330</v>
      </c>
      <c r="CR29" t="s">
        <v>304</v>
      </c>
      <c r="CS29" s="1">
        <v>45143.321180555555</v>
      </c>
      <c r="CT29" s="1">
        <v>45143.321180555555</v>
      </c>
    </row>
    <row r="30" spans="11:98" x14ac:dyDescent="0.3">
      <c r="CG30">
        <v>28</v>
      </c>
      <c r="CH30" t="s">
        <v>331</v>
      </c>
      <c r="CI30" t="s">
        <v>332</v>
      </c>
      <c r="CJ30" t="s">
        <v>333</v>
      </c>
      <c r="CK30" t="s">
        <v>328</v>
      </c>
      <c r="CL30" t="s">
        <v>304</v>
      </c>
      <c r="CM30" t="s">
        <v>329</v>
      </c>
      <c r="CN30" t="s">
        <v>198</v>
      </c>
      <c r="CO30" t="s">
        <v>194</v>
      </c>
      <c r="CP30">
        <v>0</v>
      </c>
      <c r="CQ30" t="s">
        <v>304</v>
      </c>
      <c r="CR30" t="s">
        <v>304</v>
      </c>
      <c r="CS30" s="1">
        <v>45144.182291666664</v>
      </c>
      <c r="CT30" s="1">
        <v>45144.182291666664</v>
      </c>
    </row>
    <row r="31" spans="11:98" x14ac:dyDescent="0.3">
      <c r="CG31">
        <v>29</v>
      </c>
      <c r="CH31" t="s">
        <v>334</v>
      </c>
      <c r="CI31" t="s">
        <v>335</v>
      </c>
      <c r="CJ31" t="s">
        <v>336</v>
      </c>
      <c r="CK31" t="s">
        <v>328</v>
      </c>
      <c r="CL31" t="s">
        <v>304</v>
      </c>
      <c r="CM31" t="s">
        <v>337</v>
      </c>
      <c r="CN31" t="s">
        <v>193</v>
      </c>
      <c r="CO31" t="s">
        <v>194</v>
      </c>
      <c r="CP31">
        <v>0</v>
      </c>
      <c r="CQ31" t="s">
        <v>304</v>
      </c>
      <c r="CR31" t="s">
        <v>304</v>
      </c>
      <c r="CS31" s="1">
        <v>45144.314004629632</v>
      </c>
      <c r="CT31" s="1">
        <v>45144.314004629632</v>
      </c>
    </row>
    <row r="32" spans="11:98" x14ac:dyDescent="0.3">
      <c r="CG32">
        <v>30</v>
      </c>
      <c r="CH32" t="s">
        <v>338</v>
      </c>
      <c r="CI32" t="s">
        <v>339</v>
      </c>
      <c r="CJ32" t="s">
        <v>340</v>
      </c>
      <c r="CK32" t="s">
        <v>328</v>
      </c>
      <c r="CL32" t="s">
        <v>304</v>
      </c>
      <c r="CM32" t="s">
        <v>341</v>
      </c>
      <c r="CN32" t="s">
        <v>193</v>
      </c>
      <c r="CO32" t="s">
        <v>194</v>
      </c>
      <c r="CP32">
        <v>0</v>
      </c>
      <c r="CQ32" t="s">
        <v>304</v>
      </c>
      <c r="CR32" t="s">
        <v>304</v>
      </c>
      <c r="CS32" s="1">
        <v>45145.234837962962</v>
      </c>
      <c r="CT32" s="1">
        <v>45145.234837962962</v>
      </c>
    </row>
    <row r="33" spans="85:98" x14ac:dyDescent="0.3">
      <c r="CG33">
        <v>31</v>
      </c>
      <c r="CH33" t="s">
        <v>342</v>
      </c>
      <c r="CI33" t="s">
        <v>343</v>
      </c>
      <c r="CJ33" t="s">
        <v>344</v>
      </c>
      <c r="CK33" t="s">
        <v>345</v>
      </c>
      <c r="CL33" t="s">
        <v>304</v>
      </c>
      <c r="CM33" t="s">
        <v>305</v>
      </c>
      <c r="CN33" t="s">
        <v>193</v>
      </c>
      <c r="CO33" t="s">
        <v>194</v>
      </c>
      <c r="CP33">
        <v>5</v>
      </c>
      <c r="CQ33" t="s">
        <v>306</v>
      </c>
      <c r="CR33" t="s">
        <v>304</v>
      </c>
      <c r="CS33" s="1">
        <v>45146.177384259259</v>
      </c>
      <c r="CT33" s="1">
        <v>45146.177384259259</v>
      </c>
    </row>
    <row r="34" spans="85:98" x14ac:dyDescent="0.3">
      <c r="CG34">
        <v>32</v>
      </c>
      <c r="CH34" t="s">
        <v>346</v>
      </c>
      <c r="CI34" t="s">
        <v>347</v>
      </c>
      <c r="CJ34" t="s">
        <v>348</v>
      </c>
      <c r="CK34" t="s">
        <v>345</v>
      </c>
      <c r="CL34" t="s">
        <v>304</v>
      </c>
      <c r="CM34" t="s">
        <v>305</v>
      </c>
      <c r="CN34" t="s">
        <v>198</v>
      </c>
      <c r="CO34" t="s">
        <v>185</v>
      </c>
      <c r="CP34">
        <v>5</v>
      </c>
      <c r="CQ34" t="s">
        <v>304</v>
      </c>
      <c r="CR34" t="s">
        <v>304</v>
      </c>
      <c r="CS34" s="1">
        <v>45146.309328703705</v>
      </c>
      <c r="CT34" s="1">
        <v>45146.309328703705</v>
      </c>
    </row>
    <row r="35" spans="85:98" x14ac:dyDescent="0.3">
      <c r="CG35">
        <v>33</v>
      </c>
      <c r="CH35" t="s">
        <v>349</v>
      </c>
      <c r="CI35" t="s">
        <v>350</v>
      </c>
      <c r="CJ35" t="s">
        <v>351</v>
      </c>
      <c r="CK35" t="s">
        <v>345</v>
      </c>
      <c r="CL35" t="s">
        <v>304</v>
      </c>
      <c r="CM35" t="s">
        <v>305</v>
      </c>
      <c r="CN35" t="s">
        <v>184</v>
      </c>
      <c r="CO35" t="s">
        <v>185</v>
      </c>
      <c r="CP35">
        <v>4</v>
      </c>
      <c r="CQ35" t="s">
        <v>304</v>
      </c>
      <c r="CR35" t="s">
        <v>304</v>
      </c>
      <c r="CS35" s="1">
        <v>45146.345462962963</v>
      </c>
      <c r="CT35" s="1">
        <v>45146.345462962963</v>
      </c>
    </row>
    <row r="36" spans="85:98" x14ac:dyDescent="0.3">
      <c r="CG36">
        <v>34</v>
      </c>
      <c r="CH36" t="s">
        <v>352</v>
      </c>
      <c r="CI36" t="s">
        <v>353</v>
      </c>
      <c r="CJ36" t="s">
        <v>354</v>
      </c>
      <c r="CK36" t="s">
        <v>345</v>
      </c>
      <c r="CL36" t="s">
        <v>304</v>
      </c>
      <c r="CM36" t="s">
        <v>305</v>
      </c>
      <c r="CN36" t="s">
        <v>211</v>
      </c>
      <c r="CO36" t="s">
        <v>194</v>
      </c>
      <c r="CP36">
        <v>5</v>
      </c>
      <c r="CQ36" t="s">
        <v>304</v>
      </c>
      <c r="CR36" t="s">
        <v>304</v>
      </c>
      <c r="CS36" s="1">
        <v>45147.052384259259</v>
      </c>
      <c r="CT36" s="1">
        <v>45147.052384259259</v>
      </c>
    </row>
    <row r="37" spans="85:98" x14ac:dyDescent="0.3">
      <c r="CG37">
        <v>35</v>
      </c>
      <c r="CH37" t="s">
        <v>355</v>
      </c>
      <c r="CI37" t="s">
        <v>356</v>
      </c>
      <c r="CJ37" t="s">
        <v>344</v>
      </c>
      <c r="CK37" t="s">
        <v>345</v>
      </c>
      <c r="CL37" t="s">
        <v>304</v>
      </c>
      <c r="CM37" t="s">
        <v>305</v>
      </c>
      <c r="CN37" t="s">
        <v>198</v>
      </c>
      <c r="CO37" t="s">
        <v>185</v>
      </c>
      <c r="CP37">
        <v>5</v>
      </c>
      <c r="CQ37" t="s">
        <v>304</v>
      </c>
      <c r="CR37" t="s">
        <v>304</v>
      </c>
      <c r="CS37" s="1">
        <v>45146.446006944447</v>
      </c>
      <c r="CT37" s="1">
        <v>45146.446006944447</v>
      </c>
    </row>
  </sheetData>
  <mergeCells count="8">
    <mergeCell ref="CW1:CX1"/>
    <mergeCell ref="BD1:BE1"/>
    <mergeCell ref="BN1:BO1"/>
    <mergeCell ref="CG1:CH1"/>
    <mergeCell ref="A1:B1"/>
    <mergeCell ref="K1:L1"/>
    <mergeCell ref="Y1:Z1"/>
    <mergeCell ref="AL1:AM1"/>
  </mergeCells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BDC20-898D-4546-B5CD-D75D34169641}">
  <sheetPr codeName="Sheet13"/>
  <dimension ref="A1:F6"/>
  <sheetViews>
    <sheetView workbookViewId="0">
      <selection activeCell="H15" sqref="H15"/>
    </sheetView>
  </sheetViews>
  <sheetFormatPr defaultRowHeight="15.6" x14ac:dyDescent="0.3"/>
  <cols>
    <col min="1" max="1" width="13.19921875" bestFit="1" customWidth="1"/>
    <col min="2" max="2" width="12.69921875" bestFit="1" customWidth="1"/>
    <col min="3" max="3" width="12.59765625" bestFit="1" customWidth="1"/>
    <col min="4" max="4" width="13.3984375" bestFit="1" customWidth="1"/>
    <col min="5" max="5" width="13.8984375" bestFit="1" customWidth="1"/>
    <col min="6" max="6" width="15.19921875" bestFit="1" customWidth="1"/>
  </cols>
  <sheetData>
    <row r="1" spans="1:6" x14ac:dyDescent="0.3">
      <c r="A1" t="s">
        <v>358</v>
      </c>
      <c r="B1" t="s">
        <v>359</v>
      </c>
      <c r="C1" t="s">
        <v>360</v>
      </c>
      <c r="D1" t="s">
        <v>361</v>
      </c>
      <c r="E1" t="s">
        <v>362</v>
      </c>
      <c r="F1" t="s">
        <v>363</v>
      </c>
    </row>
    <row r="2" spans="1:6" x14ac:dyDescent="0.3">
      <c r="A2">
        <v>1</v>
      </c>
      <c r="B2" t="s">
        <v>364</v>
      </c>
      <c r="C2" t="s">
        <v>365</v>
      </c>
      <c r="D2" s="2">
        <v>45148</v>
      </c>
      <c r="E2" t="s">
        <v>366</v>
      </c>
      <c r="F2" s="2">
        <v>45153</v>
      </c>
    </row>
    <row r="3" spans="1:6" x14ac:dyDescent="0.3">
      <c r="A3">
        <v>2</v>
      </c>
      <c r="B3" t="s">
        <v>367</v>
      </c>
      <c r="C3" t="s">
        <v>365</v>
      </c>
      <c r="D3" s="2">
        <v>45148</v>
      </c>
      <c r="E3" t="s">
        <v>368</v>
      </c>
      <c r="F3" s="2">
        <v>45155</v>
      </c>
    </row>
    <row r="4" spans="1:6" x14ac:dyDescent="0.3">
      <c r="A4">
        <v>3</v>
      </c>
      <c r="B4" t="s">
        <v>193</v>
      </c>
      <c r="C4" t="s">
        <v>365</v>
      </c>
      <c r="D4" s="2">
        <v>45148</v>
      </c>
      <c r="E4" t="s">
        <v>369</v>
      </c>
      <c r="F4" s="2">
        <v>45156</v>
      </c>
    </row>
    <row r="5" spans="1:6" x14ac:dyDescent="0.3">
      <c r="A5">
        <v>4</v>
      </c>
      <c r="B5" t="s">
        <v>370</v>
      </c>
      <c r="C5" t="s">
        <v>371</v>
      </c>
      <c r="D5" s="2">
        <v>45148</v>
      </c>
      <c r="E5" t="s">
        <v>372</v>
      </c>
      <c r="F5" s="2">
        <v>45154</v>
      </c>
    </row>
    <row r="6" spans="1:6" x14ac:dyDescent="0.3">
      <c r="A6">
        <v>5</v>
      </c>
      <c r="B6" t="s">
        <v>373</v>
      </c>
      <c r="C6" t="s">
        <v>40</v>
      </c>
      <c r="D6" s="2">
        <v>45148</v>
      </c>
      <c r="E6" t="s">
        <v>374</v>
      </c>
      <c r="F6" s="2">
        <v>45158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A7D8D-A3F5-4925-9C1E-539F89CCBD9F}">
  <sheetPr codeName="Sheet6"/>
  <dimension ref="A1:L19"/>
  <sheetViews>
    <sheetView workbookViewId="0">
      <selection activeCell="K19" sqref="K19"/>
    </sheetView>
  </sheetViews>
  <sheetFormatPr defaultRowHeight="15.6" x14ac:dyDescent="0.3"/>
  <cols>
    <col min="1" max="1" width="13.19921875" bestFit="1" customWidth="1"/>
    <col min="2" max="2" width="11.69921875" bestFit="1" customWidth="1"/>
    <col min="3" max="3" width="15.296875" bestFit="1" customWidth="1"/>
    <col min="4" max="4" width="25.5" bestFit="1" customWidth="1"/>
    <col min="5" max="5" width="12" bestFit="1" customWidth="1"/>
    <col min="6" max="6" width="13.19921875" bestFit="1" customWidth="1"/>
    <col min="7" max="7" width="30.796875" bestFit="1" customWidth="1"/>
    <col min="8" max="8" width="9.296875" bestFit="1" customWidth="1"/>
    <col min="9" max="9" width="71.59765625" bestFit="1" customWidth="1"/>
    <col min="10" max="11" width="14.296875" hidden="1" customWidth="1"/>
    <col min="12" max="12" width="14.296875" customWidth="1"/>
  </cols>
  <sheetData>
    <row r="1" spans="1:12" x14ac:dyDescent="0.3">
      <c r="A1" t="s">
        <v>88</v>
      </c>
      <c r="B1" t="s">
        <v>89</v>
      </c>
      <c r="C1" t="s">
        <v>90</v>
      </c>
      <c r="D1" t="s">
        <v>22</v>
      </c>
      <c r="E1" t="s">
        <v>24</v>
      </c>
      <c r="F1" t="s">
        <v>91</v>
      </c>
      <c r="G1" t="s">
        <v>92</v>
      </c>
      <c r="H1" t="s">
        <v>93</v>
      </c>
      <c r="I1" t="s">
        <v>23</v>
      </c>
      <c r="J1" t="s">
        <v>25</v>
      </c>
      <c r="K1" t="s">
        <v>26</v>
      </c>
    </row>
    <row r="2" spans="1:12" x14ac:dyDescent="0.3">
      <c r="A2">
        <v>1</v>
      </c>
      <c r="B2" t="s">
        <v>94</v>
      </c>
      <c r="C2" t="s">
        <v>95</v>
      </c>
      <c r="D2" t="s">
        <v>72</v>
      </c>
      <c r="E2" t="s">
        <v>73</v>
      </c>
      <c r="F2" t="s">
        <v>96</v>
      </c>
      <c r="G2" t="s">
        <v>74</v>
      </c>
      <c r="H2" t="s">
        <v>97</v>
      </c>
      <c r="I2" t="s">
        <v>98</v>
      </c>
      <c r="J2" s="1">
        <v>45079.631886574076</v>
      </c>
      <c r="K2" s="1">
        <v>45079.631886574076</v>
      </c>
    </row>
    <row r="3" spans="1:12" x14ac:dyDescent="0.3">
      <c r="A3">
        <v>3</v>
      </c>
      <c r="B3" t="s">
        <v>99</v>
      </c>
      <c r="C3" t="s">
        <v>94</v>
      </c>
      <c r="D3" t="s">
        <v>29</v>
      </c>
      <c r="E3" t="s">
        <v>73</v>
      </c>
      <c r="F3" t="s">
        <v>100</v>
      </c>
      <c r="G3" t="s">
        <v>101</v>
      </c>
      <c r="H3" t="s">
        <v>97</v>
      </c>
      <c r="I3" t="s">
        <v>102</v>
      </c>
      <c r="J3" s="1">
        <v>45079.641203703701</v>
      </c>
      <c r="K3" s="1">
        <v>45079.641203703701</v>
      </c>
    </row>
    <row r="4" spans="1:12" x14ac:dyDescent="0.3">
      <c r="A4">
        <v>4</v>
      </c>
      <c r="B4" t="s">
        <v>103</v>
      </c>
      <c r="C4" t="s">
        <v>104</v>
      </c>
      <c r="D4" t="s">
        <v>105</v>
      </c>
      <c r="E4" t="s">
        <v>106</v>
      </c>
      <c r="F4" t="s">
        <v>107</v>
      </c>
      <c r="G4" t="s">
        <v>108</v>
      </c>
      <c r="H4" t="s">
        <v>97</v>
      </c>
      <c r="I4" t="s">
        <v>109</v>
      </c>
      <c r="J4" s="1">
        <v>45079.642974537041</v>
      </c>
      <c r="K4" s="1">
        <v>45079.642974537041</v>
      </c>
    </row>
    <row r="5" spans="1:12" x14ac:dyDescent="0.3">
      <c r="A5">
        <v>5</v>
      </c>
      <c r="B5" t="s">
        <v>110</v>
      </c>
      <c r="C5" t="s">
        <v>111</v>
      </c>
      <c r="D5" t="s">
        <v>80</v>
      </c>
      <c r="E5" t="s">
        <v>106</v>
      </c>
      <c r="F5" t="s">
        <v>112</v>
      </c>
      <c r="G5" t="s">
        <v>113</v>
      </c>
      <c r="H5" t="s">
        <v>97</v>
      </c>
      <c r="I5" t="s">
        <v>114</v>
      </c>
      <c r="J5" s="1">
        <v>45079.646249999998</v>
      </c>
      <c r="K5" s="1">
        <v>45079.646249999998</v>
      </c>
    </row>
    <row r="6" spans="1:12" x14ac:dyDescent="0.3">
      <c r="A6">
        <v>6</v>
      </c>
      <c r="B6" t="s">
        <v>115</v>
      </c>
      <c r="C6" t="s">
        <v>95</v>
      </c>
      <c r="D6" t="s">
        <v>116</v>
      </c>
      <c r="E6" t="s">
        <v>85</v>
      </c>
      <c r="F6" t="s">
        <v>117</v>
      </c>
      <c r="G6" t="s">
        <v>118</v>
      </c>
      <c r="H6" t="s">
        <v>119</v>
      </c>
      <c r="I6" t="s">
        <v>120</v>
      </c>
      <c r="J6" s="1">
        <v>45079.651747685188</v>
      </c>
      <c r="K6" s="1">
        <v>45079.651747685188</v>
      </c>
    </row>
    <row r="7" spans="1:12" x14ac:dyDescent="0.3">
      <c r="A7">
        <v>7</v>
      </c>
      <c r="B7" t="s">
        <v>121</v>
      </c>
      <c r="C7" t="s">
        <v>122</v>
      </c>
      <c r="D7" t="s">
        <v>77</v>
      </c>
      <c r="E7" t="s">
        <v>123</v>
      </c>
      <c r="F7" t="s">
        <v>124</v>
      </c>
      <c r="G7" t="s">
        <v>125</v>
      </c>
      <c r="H7" t="s">
        <v>97</v>
      </c>
      <c r="I7" t="s">
        <v>126</v>
      </c>
      <c r="J7" s="1">
        <v>45079.711064814815</v>
      </c>
      <c r="K7" s="1">
        <v>45079.711064814815</v>
      </c>
    </row>
    <row r="8" spans="1:12" x14ac:dyDescent="0.3">
      <c r="A8">
        <v>8</v>
      </c>
      <c r="B8" t="s">
        <v>127</v>
      </c>
      <c r="C8" t="s">
        <v>104</v>
      </c>
      <c r="D8" t="s">
        <v>128</v>
      </c>
      <c r="E8" t="s">
        <v>129</v>
      </c>
      <c r="F8" t="s">
        <v>130</v>
      </c>
      <c r="G8" t="s">
        <v>131</v>
      </c>
      <c r="H8" t="s">
        <v>97</v>
      </c>
      <c r="I8" t="s">
        <v>132</v>
      </c>
      <c r="J8" s="1">
        <v>45081.804074074076</v>
      </c>
      <c r="K8" s="1">
        <v>45081.804074074076</v>
      </c>
    </row>
    <row r="9" spans="1:12" x14ac:dyDescent="0.3">
      <c r="A9">
        <v>9</v>
      </c>
      <c r="B9" t="s">
        <v>99</v>
      </c>
      <c r="C9" t="s">
        <v>95</v>
      </c>
      <c r="D9" t="s">
        <v>72</v>
      </c>
      <c r="E9" t="s">
        <v>69</v>
      </c>
      <c r="F9" t="s">
        <v>96</v>
      </c>
      <c r="G9" t="s">
        <v>74</v>
      </c>
      <c r="H9" t="s">
        <v>97</v>
      </c>
      <c r="I9" t="s">
        <v>133</v>
      </c>
      <c r="J9" s="1">
        <v>45081.852789351855</v>
      </c>
      <c r="K9" s="1">
        <v>45081.852789351855</v>
      </c>
    </row>
    <row r="10" spans="1:12" x14ac:dyDescent="0.3">
      <c r="A10">
        <v>10</v>
      </c>
      <c r="B10" t="s">
        <v>134</v>
      </c>
      <c r="C10" t="s">
        <v>135</v>
      </c>
      <c r="D10" t="s">
        <v>136</v>
      </c>
      <c r="E10" t="s">
        <v>69</v>
      </c>
      <c r="F10" t="s">
        <v>137</v>
      </c>
      <c r="G10" t="s">
        <v>113</v>
      </c>
      <c r="H10" t="s">
        <v>119</v>
      </c>
      <c r="I10" t="s">
        <v>138</v>
      </c>
      <c r="J10" s="1">
        <v>45101.572847222225</v>
      </c>
      <c r="K10" s="1">
        <v>45101.572847222225</v>
      </c>
    </row>
    <row r="11" spans="1:12" x14ac:dyDescent="0.3">
      <c r="A11">
        <v>11</v>
      </c>
      <c r="B11" t="s">
        <v>139</v>
      </c>
      <c r="C11" t="s">
        <v>140</v>
      </c>
      <c r="D11" t="s">
        <v>141</v>
      </c>
      <c r="E11" t="s">
        <v>85</v>
      </c>
      <c r="F11" t="s">
        <v>142</v>
      </c>
      <c r="G11" t="s">
        <v>143</v>
      </c>
      <c r="H11" t="s">
        <v>97</v>
      </c>
      <c r="I11" t="s">
        <v>144</v>
      </c>
      <c r="J11" s="1">
        <v>45102.226550925923</v>
      </c>
      <c r="K11" s="1">
        <v>45102.226550925923</v>
      </c>
    </row>
    <row r="12" spans="1:12" x14ac:dyDescent="0.3">
      <c r="A12">
        <v>12</v>
      </c>
      <c r="B12" t="s">
        <v>145</v>
      </c>
      <c r="C12" t="s">
        <v>135</v>
      </c>
      <c r="D12" t="s">
        <v>146</v>
      </c>
      <c r="E12" t="s">
        <v>147</v>
      </c>
      <c r="F12" t="s">
        <v>148</v>
      </c>
      <c r="G12" t="s">
        <v>101</v>
      </c>
      <c r="H12" t="s">
        <v>97</v>
      </c>
      <c r="I12" t="s">
        <v>149</v>
      </c>
      <c r="J12" s="1">
        <v>45134.280995370369</v>
      </c>
      <c r="K12" s="1">
        <v>45134.280995370369</v>
      </c>
    </row>
    <row r="13" spans="1:12" x14ac:dyDescent="0.3">
      <c r="A13">
        <v>13</v>
      </c>
      <c r="B13" t="s">
        <v>150</v>
      </c>
      <c r="C13" t="s">
        <v>151</v>
      </c>
      <c r="D13" t="s">
        <v>152</v>
      </c>
      <c r="E13" t="s">
        <v>153</v>
      </c>
      <c r="F13" t="s">
        <v>154</v>
      </c>
      <c r="G13" t="s">
        <v>155</v>
      </c>
      <c r="H13" t="s">
        <v>97</v>
      </c>
      <c r="I13" t="s">
        <v>156</v>
      </c>
      <c r="J13" s="1">
        <v>45134.416412037041</v>
      </c>
      <c r="K13" s="1">
        <v>45134.416412037041</v>
      </c>
    </row>
    <row r="14" spans="1:12" x14ac:dyDescent="0.3">
      <c r="J14" s="1"/>
      <c r="K14" s="1"/>
      <c r="L14" s="1"/>
    </row>
    <row r="15" spans="1:12" x14ac:dyDescent="0.3">
      <c r="J15" s="1"/>
      <c r="K15" s="1"/>
      <c r="L15" s="1"/>
    </row>
    <row r="16" spans="1:12" x14ac:dyDescent="0.3">
      <c r="A16" s="47"/>
      <c r="B16" s="47"/>
      <c r="C16" s="47"/>
      <c r="D16" s="47"/>
      <c r="E16" s="47"/>
      <c r="F16" s="47"/>
      <c r="G16" s="47"/>
      <c r="H16" s="47"/>
      <c r="I16" s="47"/>
    </row>
    <row r="17" spans="1:9" x14ac:dyDescent="0.3">
      <c r="A17" s="47"/>
      <c r="B17" s="47"/>
      <c r="C17" s="47"/>
      <c r="D17" s="47"/>
      <c r="E17" s="47"/>
      <c r="F17" s="47"/>
      <c r="G17" s="47"/>
      <c r="H17" s="47"/>
      <c r="I17" s="47"/>
    </row>
    <row r="18" spans="1:9" x14ac:dyDescent="0.3">
      <c r="A18" s="47"/>
      <c r="B18" s="47"/>
      <c r="C18" s="47"/>
      <c r="D18" s="47"/>
      <c r="E18" s="47"/>
      <c r="F18" s="47"/>
      <c r="G18" s="47"/>
      <c r="H18" s="47"/>
      <c r="I18" s="47"/>
    </row>
    <row r="19" spans="1:9" x14ac:dyDescent="0.3">
      <c r="A19" s="47"/>
      <c r="B19" s="47"/>
      <c r="C19" s="47"/>
      <c r="D19" s="47"/>
      <c r="E19" s="47"/>
      <c r="F19" s="47"/>
      <c r="G19" s="47"/>
      <c r="H19" s="47"/>
      <c r="I19" s="47"/>
    </row>
  </sheetData>
  <mergeCells count="2">
    <mergeCell ref="B16:I19"/>
    <mergeCell ref="A16:A1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odule12.AddCustomer">
                <anchor moveWithCells="1" sizeWithCells="1">
                  <from>
                    <xdr:col>2</xdr:col>
                    <xdr:colOff>15240</xdr:colOff>
                    <xdr:row>16</xdr:row>
                    <xdr:rowOff>7620</xdr:rowOff>
                  </from>
                  <to>
                    <xdr:col>3</xdr:col>
                    <xdr:colOff>213360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UpdateCustomer">
                <anchor moveWithCells="1" sizeWithCells="1">
                  <from>
                    <xdr:col>3</xdr:col>
                    <xdr:colOff>769620</xdr:colOff>
                    <xdr:row>16</xdr:row>
                    <xdr:rowOff>15240</xdr:rowOff>
                  </from>
                  <to>
                    <xdr:col>4</xdr:col>
                    <xdr:colOff>190500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DeleteCustomer">
                <anchor moveWithCells="1" sizeWithCells="1">
                  <from>
                    <xdr:col>4</xdr:col>
                    <xdr:colOff>845820</xdr:colOff>
                    <xdr:row>16</xdr:row>
                    <xdr:rowOff>7620</xdr:rowOff>
                  </from>
                  <to>
                    <xdr:col>6</xdr:col>
                    <xdr:colOff>289560</xdr:colOff>
                    <xdr:row>17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FilterCustomer">
                <anchor moveWithCells="1" sizeWithCells="1">
                  <from>
                    <xdr:col>6</xdr:col>
                    <xdr:colOff>883920</xdr:colOff>
                    <xdr:row>16</xdr:row>
                    <xdr:rowOff>0</xdr:rowOff>
                  </from>
                  <to>
                    <xdr:col>6</xdr:col>
                    <xdr:colOff>2247900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PrintCustomer">
                <anchor moveWithCells="1" sizeWithCells="1">
                  <from>
                    <xdr:col>8</xdr:col>
                    <xdr:colOff>1524000</xdr:colOff>
                    <xdr:row>15</xdr:row>
                    <xdr:rowOff>182880</xdr:rowOff>
                  </from>
                  <to>
                    <xdr:col>8</xdr:col>
                    <xdr:colOff>2887980</xdr:colOff>
                    <xdr:row>17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ClearCustomerFilter">
                <anchor moveWithCells="1" sizeWithCells="1">
                  <from>
                    <xdr:col>7</xdr:col>
                    <xdr:colOff>388620</xdr:colOff>
                    <xdr:row>16</xdr:row>
                    <xdr:rowOff>0</xdr:rowOff>
                  </from>
                  <to>
                    <xdr:col>8</xdr:col>
                    <xdr:colOff>1043940</xdr:colOff>
                    <xdr:row>17</xdr:row>
                    <xdr:rowOff>99060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E35B1-B765-4180-B394-2892CEE59795}">
  <sheetPr codeName="Sheet4"/>
  <dimension ref="A1:L26"/>
  <sheetViews>
    <sheetView workbookViewId="0">
      <selection activeCell="K19" sqref="K19"/>
    </sheetView>
  </sheetViews>
  <sheetFormatPr defaultRowHeight="15.6" x14ac:dyDescent="0.3"/>
  <cols>
    <col min="1" max="1" width="4.3984375" style="25" bestFit="1" customWidth="1"/>
    <col min="2" max="2" width="10" style="25" bestFit="1" customWidth="1"/>
    <col min="3" max="3" width="50.69921875" style="25" bestFit="1" customWidth="1"/>
    <col min="4" max="4" width="7.09765625" style="25" bestFit="1" customWidth="1"/>
    <col min="5" max="5" width="9.796875" style="25" bestFit="1" customWidth="1"/>
    <col min="6" max="6" width="8.5" style="25" bestFit="1" customWidth="1"/>
    <col min="7" max="7" width="12.19921875" style="25" bestFit="1" customWidth="1"/>
    <col min="8" max="8" width="9.69921875" style="25" bestFit="1" customWidth="1"/>
    <col min="9" max="9" width="12" style="25" bestFit="1" customWidth="1"/>
    <col min="10" max="11" width="14.296875" style="25" bestFit="1" customWidth="1"/>
    <col min="12" max="12" width="17.09765625" style="25" bestFit="1" customWidth="1"/>
    <col min="13" max="16384" width="8.796875" style="25"/>
  </cols>
  <sheetData>
    <row r="1" spans="1:12" customFormat="1" x14ac:dyDescent="0.3">
      <c r="A1" t="s">
        <v>19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  <c r="G1" t="s">
        <v>36</v>
      </c>
      <c r="H1" t="s">
        <v>37</v>
      </c>
      <c r="I1" t="s">
        <v>38</v>
      </c>
      <c r="J1" t="s">
        <v>25</v>
      </c>
      <c r="K1" t="s">
        <v>26</v>
      </c>
      <c r="L1" t="s">
        <v>377</v>
      </c>
    </row>
    <row r="2" spans="1:12" customFormat="1" x14ac:dyDescent="0.3">
      <c r="A2">
        <v>178</v>
      </c>
      <c r="B2">
        <v>356</v>
      </c>
      <c r="C2" t="s">
        <v>39</v>
      </c>
      <c r="D2">
        <v>4500</v>
      </c>
      <c r="E2">
        <v>1</v>
      </c>
      <c r="F2" t="s">
        <v>40</v>
      </c>
      <c r="G2" s="2">
        <v>45168</v>
      </c>
      <c r="H2">
        <v>0</v>
      </c>
      <c r="I2" s="26" t="s">
        <v>41</v>
      </c>
      <c r="J2" s="1">
        <v>45138.559629629628</v>
      </c>
      <c r="K2" s="1">
        <v>45138.559629629628</v>
      </c>
      <c r="L2" t="s">
        <v>226</v>
      </c>
    </row>
    <row r="3" spans="1:12" customFormat="1" x14ac:dyDescent="0.3">
      <c r="A3">
        <v>179</v>
      </c>
      <c r="B3">
        <v>358</v>
      </c>
      <c r="C3" t="s">
        <v>42</v>
      </c>
      <c r="D3">
        <v>2500</v>
      </c>
      <c r="E3">
        <v>1</v>
      </c>
      <c r="F3" t="s">
        <v>43</v>
      </c>
      <c r="G3" s="2">
        <v>45159</v>
      </c>
      <c r="H3">
        <v>1</v>
      </c>
      <c r="I3" s="26" t="s">
        <v>44</v>
      </c>
      <c r="J3" s="1">
        <v>45138.56585648148</v>
      </c>
      <c r="K3" s="1">
        <v>45138.56585648148</v>
      </c>
      <c r="L3" t="s">
        <v>226</v>
      </c>
    </row>
    <row r="4" spans="1:12" customFormat="1" x14ac:dyDescent="0.3">
      <c r="A4">
        <v>180</v>
      </c>
      <c r="B4">
        <v>359</v>
      </c>
      <c r="C4" t="s">
        <v>45</v>
      </c>
      <c r="D4">
        <v>2250</v>
      </c>
      <c r="E4">
        <v>1</v>
      </c>
      <c r="F4" t="s">
        <v>43</v>
      </c>
      <c r="G4" s="2">
        <v>45168</v>
      </c>
      <c r="H4">
        <v>0</v>
      </c>
      <c r="I4" s="26" t="s">
        <v>46</v>
      </c>
      <c r="J4" s="1">
        <v>45138.567719907405</v>
      </c>
      <c r="K4" s="1">
        <v>45138.567719907405</v>
      </c>
      <c r="L4" t="s">
        <v>226</v>
      </c>
    </row>
    <row r="5" spans="1:12" customFormat="1" x14ac:dyDescent="0.3">
      <c r="A5">
        <v>181</v>
      </c>
      <c r="B5">
        <v>360</v>
      </c>
      <c r="C5" t="s">
        <v>47</v>
      </c>
      <c r="D5">
        <v>5300</v>
      </c>
      <c r="E5">
        <v>1</v>
      </c>
      <c r="F5" t="s">
        <v>40</v>
      </c>
      <c r="G5" s="2">
        <v>45163</v>
      </c>
      <c r="H5">
        <v>1</v>
      </c>
      <c r="I5" s="26" t="s">
        <v>48</v>
      </c>
      <c r="J5" s="1">
        <v>45138.568703703706</v>
      </c>
      <c r="K5" s="1">
        <v>45138.568703703706</v>
      </c>
      <c r="L5" t="s">
        <v>226</v>
      </c>
    </row>
    <row r="6" spans="1:12" customFormat="1" x14ac:dyDescent="0.3">
      <c r="A6">
        <v>182</v>
      </c>
      <c r="B6">
        <v>361</v>
      </c>
      <c r="C6" t="s">
        <v>49</v>
      </c>
      <c r="D6">
        <v>7900</v>
      </c>
      <c r="E6">
        <v>1</v>
      </c>
      <c r="F6" t="s">
        <v>50</v>
      </c>
      <c r="G6" s="2">
        <v>45160</v>
      </c>
      <c r="H6">
        <v>0</v>
      </c>
      <c r="I6" s="26" t="s">
        <v>51</v>
      </c>
      <c r="J6" s="1">
        <v>45138.570370370369</v>
      </c>
      <c r="K6" s="1">
        <v>45138.570370370369</v>
      </c>
      <c r="L6" t="s">
        <v>226</v>
      </c>
    </row>
    <row r="7" spans="1:12" customFormat="1" x14ac:dyDescent="0.3">
      <c r="A7">
        <v>183</v>
      </c>
      <c r="B7">
        <v>362</v>
      </c>
      <c r="C7" t="s">
        <v>52</v>
      </c>
      <c r="D7">
        <v>2250</v>
      </c>
      <c r="E7">
        <v>1</v>
      </c>
      <c r="F7" t="s">
        <v>43</v>
      </c>
      <c r="G7" s="2">
        <v>45174</v>
      </c>
      <c r="H7">
        <v>0</v>
      </c>
      <c r="I7" s="26" t="s">
        <v>46</v>
      </c>
      <c r="J7" s="1">
        <v>45138.634756944448</v>
      </c>
      <c r="K7" s="1">
        <v>45138.634756944448</v>
      </c>
      <c r="L7" t="s">
        <v>226</v>
      </c>
    </row>
    <row r="8" spans="1:12" customFormat="1" x14ac:dyDescent="0.3">
      <c r="A8">
        <v>184</v>
      </c>
      <c r="B8">
        <v>363</v>
      </c>
      <c r="C8" t="s">
        <v>47</v>
      </c>
      <c r="D8">
        <v>7900</v>
      </c>
      <c r="E8">
        <v>1</v>
      </c>
      <c r="F8" t="s">
        <v>50</v>
      </c>
      <c r="G8" s="2">
        <v>45168</v>
      </c>
      <c r="H8">
        <v>0</v>
      </c>
      <c r="I8" s="26" t="s">
        <v>51</v>
      </c>
      <c r="J8" s="1">
        <v>45139.73574074074</v>
      </c>
      <c r="K8" s="1">
        <v>45139.73574074074</v>
      </c>
      <c r="L8" t="s">
        <v>226</v>
      </c>
    </row>
    <row r="9" spans="1:12" customFormat="1" x14ac:dyDescent="0.3">
      <c r="A9">
        <v>185</v>
      </c>
      <c r="B9">
        <v>364</v>
      </c>
      <c r="C9" t="s">
        <v>52</v>
      </c>
      <c r="D9">
        <v>2250</v>
      </c>
      <c r="E9">
        <v>1</v>
      </c>
      <c r="F9" t="s">
        <v>43</v>
      </c>
      <c r="G9" s="2">
        <v>45160</v>
      </c>
      <c r="H9">
        <v>1</v>
      </c>
      <c r="I9" s="26" t="s">
        <v>53</v>
      </c>
      <c r="J9" s="1">
        <v>45139.819027777776</v>
      </c>
      <c r="K9" s="1">
        <v>45139.819027777776</v>
      </c>
      <c r="L9" t="s">
        <v>226</v>
      </c>
    </row>
    <row r="10" spans="1:12" customFormat="1" x14ac:dyDescent="0.3">
      <c r="A10">
        <v>186</v>
      </c>
      <c r="B10">
        <v>365</v>
      </c>
      <c r="C10" t="s">
        <v>54</v>
      </c>
      <c r="D10">
        <v>7800</v>
      </c>
      <c r="E10">
        <v>1</v>
      </c>
      <c r="F10" t="s">
        <v>50</v>
      </c>
      <c r="G10" s="2">
        <v>45152</v>
      </c>
      <c r="H10">
        <v>0</v>
      </c>
      <c r="I10" s="26" t="s">
        <v>55</v>
      </c>
      <c r="J10" s="1">
        <v>45139.880127314813</v>
      </c>
      <c r="K10" s="1">
        <v>45139.880127314813</v>
      </c>
      <c r="L10" t="s">
        <v>226</v>
      </c>
    </row>
    <row r="11" spans="1:12" customFormat="1" x14ac:dyDescent="0.3">
      <c r="A11">
        <v>188</v>
      </c>
      <c r="B11">
        <v>367</v>
      </c>
      <c r="C11" t="s">
        <v>47</v>
      </c>
      <c r="D11">
        <v>2900</v>
      </c>
      <c r="E11">
        <v>1</v>
      </c>
      <c r="F11" t="s">
        <v>43</v>
      </c>
      <c r="G11" s="2">
        <v>45161</v>
      </c>
      <c r="H11">
        <v>0</v>
      </c>
      <c r="I11" s="26" t="s">
        <v>56</v>
      </c>
      <c r="J11" s="1">
        <v>45140.151990740742</v>
      </c>
      <c r="K11" s="1">
        <v>45140.151990740742</v>
      </c>
      <c r="L11" t="s">
        <v>226</v>
      </c>
    </row>
    <row r="12" spans="1:12" customFormat="1" x14ac:dyDescent="0.3">
      <c r="A12">
        <v>189</v>
      </c>
      <c r="B12">
        <v>368</v>
      </c>
      <c r="C12" t="s">
        <v>39</v>
      </c>
      <c r="D12">
        <v>4200</v>
      </c>
      <c r="E12">
        <v>1</v>
      </c>
      <c r="F12" t="s">
        <v>40</v>
      </c>
      <c r="G12" s="2">
        <v>45159</v>
      </c>
      <c r="H12">
        <v>0</v>
      </c>
      <c r="I12" s="26" t="s">
        <v>57</v>
      </c>
      <c r="J12" s="1">
        <v>45140.244351851848</v>
      </c>
      <c r="K12" s="1">
        <v>45140.244351851848</v>
      </c>
      <c r="L12" t="s">
        <v>226</v>
      </c>
    </row>
    <row r="13" spans="1:12" customFormat="1" x14ac:dyDescent="0.3">
      <c r="A13">
        <v>190</v>
      </c>
      <c r="B13">
        <v>369</v>
      </c>
      <c r="C13" t="s">
        <v>45</v>
      </c>
      <c r="D13">
        <v>2650</v>
      </c>
      <c r="E13">
        <v>1</v>
      </c>
      <c r="F13" t="s">
        <v>43</v>
      </c>
      <c r="G13" s="2">
        <v>45160</v>
      </c>
      <c r="H13">
        <v>0</v>
      </c>
      <c r="I13" s="26" t="s">
        <v>58</v>
      </c>
      <c r="J13" s="1">
        <v>45140.245949074073</v>
      </c>
      <c r="K13" s="1">
        <v>45140.245949074073</v>
      </c>
      <c r="L13" t="s">
        <v>226</v>
      </c>
    </row>
    <row r="14" spans="1:12" customFormat="1" x14ac:dyDescent="0.3">
      <c r="A14">
        <v>193</v>
      </c>
      <c r="B14">
        <v>371</v>
      </c>
      <c r="C14" t="s">
        <v>60</v>
      </c>
      <c r="D14">
        <v>4500</v>
      </c>
      <c r="E14">
        <v>1</v>
      </c>
      <c r="F14" t="s">
        <v>40</v>
      </c>
      <c r="G14" s="2">
        <v>45161</v>
      </c>
      <c r="H14">
        <v>0</v>
      </c>
      <c r="I14" s="26" t="s">
        <v>41</v>
      </c>
      <c r="J14" s="1">
        <v>45140.271053240744</v>
      </c>
      <c r="K14" s="1">
        <v>45140.271053240744</v>
      </c>
      <c r="L14" t="s">
        <v>226</v>
      </c>
    </row>
    <row r="15" spans="1:12" customFormat="1" x14ac:dyDescent="0.3">
      <c r="A15">
        <v>194</v>
      </c>
      <c r="B15">
        <v>373</v>
      </c>
      <c r="C15" t="s">
        <v>42</v>
      </c>
      <c r="D15">
        <v>5400</v>
      </c>
      <c r="E15">
        <v>1</v>
      </c>
      <c r="F15" t="s">
        <v>40</v>
      </c>
      <c r="G15" s="2">
        <v>45173</v>
      </c>
      <c r="H15">
        <v>0</v>
      </c>
      <c r="I15" s="26" t="s">
        <v>61</v>
      </c>
      <c r="J15" s="1">
        <v>45143.562337962961</v>
      </c>
      <c r="K15" s="1">
        <v>45143.562337962961</v>
      </c>
      <c r="L15" t="s">
        <v>226</v>
      </c>
    </row>
    <row r="16" spans="1:12" customFormat="1" x14ac:dyDescent="0.3">
      <c r="A16">
        <v>195</v>
      </c>
      <c r="B16">
        <v>374</v>
      </c>
      <c r="C16" t="s">
        <v>39</v>
      </c>
      <c r="D16">
        <v>50</v>
      </c>
      <c r="E16">
        <v>500</v>
      </c>
      <c r="F16" t="s">
        <v>304</v>
      </c>
      <c r="G16" s="2">
        <v>45179</v>
      </c>
      <c r="H16">
        <v>1</v>
      </c>
      <c r="I16" s="26" t="s">
        <v>378</v>
      </c>
      <c r="J16" s="1">
        <v>45155.217083333337</v>
      </c>
      <c r="K16" s="1">
        <v>45155.217083333337</v>
      </c>
      <c r="L16" t="s">
        <v>303</v>
      </c>
    </row>
    <row r="17" spans="1:12" customFormat="1" x14ac:dyDescent="0.3">
      <c r="A17">
        <v>196</v>
      </c>
      <c r="B17">
        <v>375</v>
      </c>
      <c r="C17" t="s">
        <v>379</v>
      </c>
      <c r="D17">
        <v>80</v>
      </c>
      <c r="E17">
        <v>200</v>
      </c>
      <c r="F17" t="s">
        <v>304</v>
      </c>
      <c r="G17" s="2">
        <v>45181</v>
      </c>
      <c r="H17">
        <v>1</v>
      </c>
      <c r="I17" s="26" t="s">
        <v>380</v>
      </c>
      <c r="J17" s="1">
        <v>45156.182129629633</v>
      </c>
      <c r="K17" s="1">
        <v>45156.182129629633</v>
      </c>
      <c r="L17" t="s">
        <v>303</v>
      </c>
    </row>
    <row r="18" spans="1:12" customFormat="1" x14ac:dyDescent="0.3">
      <c r="A18">
        <v>197</v>
      </c>
      <c r="B18">
        <v>376</v>
      </c>
      <c r="C18" t="s">
        <v>381</v>
      </c>
      <c r="D18">
        <v>100</v>
      </c>
      <c r="E18">
        <v>150</v>
      </c>
      <c r="F18" t="s">
        <v>304</v>
      </c>
      <c r="G18" s="2">
        <v>45183</v>
      </c>
      <c r="H18">
        <v>1</v>
      </c>
      <c r="I18" s="26" t="s">
        <v>340</v>
      </c>
      <c r="J18" s="1">
        <v>45156.260625000003</v>
      </c>
      <c r="K18" s="1">
        <v>45156.260625000003</v>
      </c>
      <c r="L18" t="s">
        <v>303</v>
      </c>
    </row>
    <row r="19" spans="1:12" customFormat="1" x14ac:dyDescent="0.3">
      <c r="A19">
        <v>198</v>
      </c>
      <c r="B19">
        <v>377</v>
      </c>
      <c r="C19" t="s">
        <v>382</v>
      </c>
      <c r="D19">
        <v>3000</v>
      </c>
      <c r="E19">
        <v>1</v>
      </c>
      <c r="F19" t="s">
        <v>304</v>
      </c>
      <c r="G19" s="2">
        <v>45185</v>
      </c>
      <c r="H19">
        <v>1</v>
      </c>
      <c r="I19" s="26" t="s">
        <v>383</v>
      </c>
      <c r="J19" s="1">
        <v>45157.218935185185</v>
      </c>
      <c r="K19" s="1">
        <v>45157.218935185185</v>
      </c>
      <c r="L19" t="s">
        <v>320</v>
      </c>
    </row>
    <row r="20" spans="1:12" customFormat="1" x14ac:dyDescent="0.3">
      <c r="A20">
        <v>199</v>
      </c>
      <c r="B20">
        <v>378</v>
      </c>
      <c r="C20" t="s">
        <v>384</v>
      </c>
      <c r="D20">
        <v>4500</v>
      </c>
      <c r="E20">
        <v>1</v>
      </c>
      <c r="F20" t="s">
        <v>304</v>
      </c>
      <c r="G20" s="2">
        <v>45188</v>
      </c>
      <c r="H20">
        <v>1</v>
      </c>
      <c r="I20" s="26" t="s">
        <v>229</v>
      </c>
      <c r="J20" s="1">
        <v>45158.307152777779</v>
      </c>
      <c r="K20" s="1">
        <v>45158.307152777779</v>
      </c>
      <c r="L20" t="s">
        <v>320</v>
      </c>
    </row>
    <row r="21" spans="1:12" customFormat="1" x14ac:dyDescent="0.3">
      <c r="A21">
        <v>200</v>
      </c>
      <c r="B21">
        <v>379</v>
      </c>
      <c r="C21" t="s">
        <v>385</v>
      </c>
      <c r="D21">
        <v>100</v>
      </c>
      <c r="E21">
        <v>30</v>
      </c>
      <c r="F21" t="s">
        <v>304</v>
      </c>
      <c r="G21" s="2">
        <v>45193</v>
      </c>
      <c r="H21">
        <v>0</v>
      </c>
      <c r="I21" s="26" t="s">
        <v>383</v>
      </c>
      <c r="J21" s="1">
        <v>45159.387685185182</v>
      </c>
      <c r="K21" s="1">
        <v>45159.387685185182</v>
      </c>
      <c r="L21" t="s">
        <v>345</v>
      </c>
    </row>
    <row r="22" spans="1:12" customFormat="1" x14ac:dyDescent="0.3">
      <c r="A22">
        <v>201</v>
      </c>
      <c r="B22">
        <v>380</v>
      </c>
      <c r="C22" t="s">
        <v>386</v>
      </c>
      <c r="D22">
        <v>80</v>
      </c>
      <c r="E22">
        <v>50</v>
      </c>
      <c r="F22" t="s">
        <v>304</v>
      </c>
      <c r="G22" s="2">
        <v>45189</v>
      </c>
      <c r="H22">
        <v>1</v>
      </c>
      <c r="I22" s="26" t="s">
        <v>387</v>
      </c>
      <c r="J22" s="1">
        <v>45160.217187499999</v>
      </c>
      <c r="K22" s="1">
        <v>45160.217187499999</v>
      </c>
      <c r="L22" t="s">
        <v>345</v>
      </c>
    </row>
    <row r="23" spans="1:12" customFormat="1" x14ac:dyDescent="0.3">
      <c r="A23">
        <v>202</v>
      </c>
      <c r="B23">
        <v>381</v>
      </c>
      <c r="C23" t="s">
        <v>388</v>
      </c>
      <c r="D23">
        <v>110</v>
      </c>
      <c r="E23">
        <v>40</v>
      </c>
      <c r="F23" t="s">
        <v>304</v>
      </c>
      <c r="G23" s="2">
        <v>45189</v>
      </c>
      <c r="H23">
        <v>1</v>
      </c>
      <c r="I23" s="26" t="s">
        <v>389</v>
      </c>
      <c r="J23" s="1">
        <v>45162.314884259256</v>
      </c>
      <c r="K23" s="1">
        <v>45162.314884259256</v>
      </c>
      <c r="L23" t="s">
        <v>345</v>
      </c>
    </row>
    <row r="24" spans="1:12" customFormat="1" x14ac:dyDescent="0.3">
      <c r="A24">
        <v>203</v>
      </c>
      <c r="B24">
        <v>382</v>
      </c>
      <c r="C24" t="s">
        <v>390</v>
      </c>
      <c r="D24">
        <v>15000</v>
      </c>
      <c r="E24">
        <v>1</v>
      </c>
      <c r="F24" t="s">
        <v>304</v>
      </c>
      <c r="G24" s="2">
        <v>45195</v>
      </c>
      <c r="H24">
        <v>0</v>
      </c>
      <c r="I24" s="26" t="s">
        <v>340</v>
      </c>
      <c r="J24" s="1">
        <v>45163.345324074071</v>
      </c>
      <c r="K24" s="1">
        <v>45163.345324074071</v>
      </c>
      <c r="L24" t="s">
        <v>328</v>
      </c>
    </row>
    <row r="25" spans="1:12" customFormat="1" x14ac:dyDescent="0.3">
      <c r="A25">
        <v>204</v>
      </c>
      <c r="B25">
        <v>383</v>
      </c>
      <c r="C25" t="s">
        <v>391</v>
      </c>
      <c r="D25">
        <v>18000</v>
      </c>
      <c r="E25">
        <v>1</v>
      </c>
      <c r="F25" t="s">
        <v>304</v>
      </c>
      <c r="G25" s="2">
        <v>45198</v>
      </c>
      <c r="H25">
        <v>0</v>
      </c>
      <c r="I25" s="26" t="s">
        <v>392</v>
      </c>
      <c r="J25" s="1">
        <v>45166.427569444444</v>
      </c>
      <c r="K25" s="1">
        <v>45166.427569444444</v>
      </c>
      <c r="L25" t="s">
        <v>328</v>
      </c>
    </row>
    <row r="26" spans="1:12" customFormat="1" x14ac:dyDescent="0.3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DailyTransactionReports">
                <anchor moveWithCells="1" sizeWithCells="1">
                  <from>
                    <xdr:col>2</xdr:col>
                    <xdr:colOff>3429000</xdr:colOff>
                    <xdr:row>27</xdr:row>
                    <xdr:rowOff>30480</xdr:rowOff>
                  </from>
                  <to>
                    <xdr:col>6</xdr:col>
                    <xdr:colOff>388620</xdr:colOff>
                    <xdr:row>29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0D9CA-090F-4AF6-B18B-691D759C9E87}">
  <sheetPr codeName="Sheet5"/>
  <dimension ref="A1:K16"/>
  <sheetViews>
    <sheetView workbookViewId="0">
      <selection activeCell="E20" sqref="E20"/>
    </sheetView>
  </sheetViews>
  <sheetFormatPr defaultRowHeight="15.6" x14ac:dyDescent="0.3"/>
  <cols>
    <col min="1" max="1" width="4.3984375" bestFit="1" customWidth="1"/>
    <col min="2" max="2" width="10" bestFit="1" customWidth="1"/>
    <col min="3" max="3" width="25.5" bestFit="1" customWidth="1"/>
    <col min="4" max="4" width="13.09765625" bestFit="1" customWidth="1"/>
    <col min="5" max="5" width="29.59765625" bestFit="1" customWidth="1"/>
    <col min="6" max="6" width="11" bestFit="1" customWidth="1"/>
    <col min="7" max="7" width="17.3984375" bestFit="1" customWidth="1"/>
    <col min="8" max="8" width="16.3984375" bestFit="1" customWidth="1"/>
    <col min="9" max="9" width="14.3984375" bestFit="1" customWidth="1"/>
    <col min="10" max="11" width="14.296875" bestFit="1" customWidth="1"/>
  </cols>
  <sheetData>
    <row r="1" spans="1:11" x14ac:dyDescent="0.3">
      <c r="A1" t="s">
        <v>19</v>
      </c>
      <c r="B1" t="s">
        <v>31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25</v>
      </c>
      <c r="K1" t="s">
        <v>26</v>
      </c>
    </row>
    <row r="2" spans="1:11" x14ac:dyDescent="0.3">
      <c r="A2">
        <v>299</v>
      </c>
      <c r="B2">
        <v>356</v>
      </c>
      <c r="C2" t="s">
        <v>29</v>
      </c>
      <c r="D2" t="s">
        <v>69</v>
      </c>
      <c r="G2" t="s">
        <v>70</v>
      </c>
      <c r="H2" t="s">
        <v>71</v>
      </c>
      <c r="J2" s="1">
        <v>45138.559861111113</v>
      </c>
      <c r="K2" s="1">
        <v>45138.559861111113</v>
      </c>
    </row>
    <row r="3" spans="1:11" x14ac:dyDescent="0.3">
      <c r="A3">
        <v>300</v>
      </c>
      <c r="B3">
        <v>358</v>
      </c>
      <c r="C3" t="s">
        <v>72</v>
      </c>
      <c r="D3" t="s">
        <v>73</v>
      </c>
      <c r="E3" t="s">
        <v>74</v>
      </c>
      <c r="F3" t="s">
        <v>75</v>
      </c>
      <c r="G3" t="s">
        <v>76</v>
      </c>
      <c r="H3" t="s">
        <v>71</v>
      </c>
      <c r="J3" s="1">
        <v>45138.566377314812</v>
      </c>
      <c r="K3" s="1">
        <v>45138.566377314812</v>
      </c>
    </row>
    <row r="4" spans="1:11" x14ac:dyDescent="0.3">
      <c r="A4">
        <v>301</v>
      </c>
      <c r="B4">
        <v>359</v>
      </c>
      <c r="C4" t="s">
        <v>77</v>
      </c>
      <c r="D4" t="s">
        <v>78</v>
      </c>
      <c r="G4" t="s">
        <v>79</v>
      </c>
      <c r="H4" t="s">
        <v>71</v>
      </c>
      <c r="J4" s="1">
        <v>45138.567916666667</v>
      </c>
      <c r="K4" s="1">
        <v>45138.567916666667</v>
      </c>
    </row>
    <row r="5" spans="1:11" x14ac:dyDescent="0.3">
      <c r="A5">
        <v>302</v>
      </c>
      <c r="B5">
        <v>360</v>
      </c>
      <c r="C5" t="s">
        <v>80</v>
      </c>
      <c r="D5" t="s">
        <v>81</v>
      </c>
      <c r="E5" t="s">
        <v>82</v>
      </c>
      <c r="F5" t="s">
        <v>83</v>
      </c>
      <c r="G5" t="s">
        <v>70</v>
      </c>
      <c r="H5" t="s">
        <v>84</v>
      </c>
      <c r="J5" s="1">
        <v>45138.56927083333</v>
      </c>
      <c r="K5" s="1">
        <v>45138.56927083333</v>
      </c>
    </row>
    <row r="6" spans="1:11" x14ac:dyDescent="0.3">
      <c r="A6">
        <v>303</v>
      </c>
      <c r="B6">
        <v>361</v>
      </c>
      <c r="C6" t="s">
        <v>29</v>
      </c>
      <c r="D6" t="s">
        <v>73</v>
      </c>
      <c r="G6" t="s">
        <v>70</v>
      </c>
      <c r="H6" t="s">
        <v>71</v>
      </c>
      <c r="J6" s="1">
        <v>45138.570567129631</v>
      </c>
      <c r="K6" s="1">
        <v>45138.570567129631</v>
      </c>
    </row>
    <row r="7" spans="1:11" x14ac:dyDescent="0.3">
      <c r="A7">
        <v>304</v>
      </c>
      <c r="B7">
        <v>362</v>
      </c>
      <c r="C7" t="s">
        <v>72</v>
      </c>
      <c r="D7" t="s">
        <v>85</v>
      </c>
      <c r="G7" t="s">
        <v>70</v>
      </c>
      <c r="H7" t="s">
        <v>84</v>
      </c>
      <c r="J7" s="1">
        <v>45138.634965277779</v>
      </c>
      <c r="K7" s="1">
        <v>45138.634965277779</v>
      </c>
    </row>
    <row r="8" spans="1:11" x14ac:dyDescent="0.3">
      <c r="A8">
        <v>305</v>
      </c>
      <c r="B8">
        <v>363</v>
      </c>
      <c r="C8" t="s">
        <v>29</v>
      </c>
      <c r="D8" t="s">
        <v>81</v>
      </c>
      <c r="G8" t="s">
        <v>70</v>
      </c>
      <c r="H8" t="s">
        <v>84</v>
      </c>
      <c r="J8" s="1">
        <v>45139.782326388886</v>
      </c>
      <c r="K8" s="1">
        <v>45139.782326388886</v>
      </c>
    </row>
    <row r="9" spans="1:11" x14ac:dyDescent="0.3">
      <c r="A9">
        <v>306</v>
      </c>
      <c r="B9">
        <v>364</v>
      </c>
      <c r="C9" t="s">
        <v>72</v>
      </c>
      <c r="D9" t="s">
        <v>73</v>
      </c>
      <c r="E9" t="s">
        <v>86</v>
      </c>
      <c r="F9" t="s">
        <v>87</v>
      </c>
      <c r="G9" t="s">
        <v>76</v>
      </c>
      <c r="H9" t="s">
        <v>71</v>
      </c>
      <c r="J9" s="1">
        <v>45139.819664351853</v>
      </c>
      <c r="K9" s="1">
        <v>45139.819664351853</v>
      </c>
    </row>
    <row r="10" spans="1:11" x14ac:dyDescent="0.3">
      <c r="A10">
        <v>307</v>
      </c>
      <c r="B10">
        <v>365</v>
      </c>
      <c r="C10" t="s">
        <v>77</v>
      </c>
      <c r="D10" t="s">
        <v>69</v>
      </c>
      <c r="G10" t="s">
        <v>79</v>
      </c>
      <c r="H10" t="s">
        <v>71</v>
      </c>
      <c r="J10" s="1">
        <v>45139.880312499998</v>
      </c>
      <c r="K10" s="1">
        <v>45139.880312499998</v>
      </c>
    </row>
    <row r="11" spans="1:11" x14ac:dyDescent="0.3">
      <c r="A11">
        <v>308</v>
      </c>
      <c r="B11">
        <v>367</v>
      </c>
      <c r="C11" t="s">
        <v>29</v>
      </c>
      <c r="D11" t="s">
        <v>85</v>
      </c>
      <c r="G11" t="s">
        <v>70</v>
      </c>
      <c r="H11" t="s">
        <v>84</v>
      </c>
      <c r="J11" s="1">
        <v>45140.152280092596</v>
      </c>
      <c r="K11" s="1">
        <v>45140.152280092596</v>
      </c>
    </row>
    <row r="12" spans="1:11" x14ac:dyDescent="0.3">
      <c r="A12">
        <v>309</v>
      </c>
      <c r="B12">
        <v>368</v>
      </c>
      <c r="C12" t="s">
        <v>29</v>
      </c>
      <c r="D12" t="s">
        <v>73</v>
      </c>
      <c r="G12" t="s">
        <v>70</v>
      </c>
      <c r="H12" t="s">
        <v>84</v>
      </c>
      <c r="J12" s="1">
        <v>45140.244664351849</v>
      </c>
      <c r="K12" s="1">
        <v>45140.244664351849</v>
      </c>
    </row>
    <row r="13" spans="1:11" x14ac:dyDescent="0.3">
      <c r="A13">
        <v>310</v>
      </c>
      <c r="B13">
        <v>369</v>
      </c>
      <c r="C13" t="s">
        <v>72</v>
      </c>
      <c r="D13" t="s">
        <v>73</v>
      </c>
      <c r="G13" t="s">
        <v>79</v>
      </c>
      <c r="H13" t="s">
        <v>71</v>
      </c>
      <c r="J13" s="1">
        <v>45140.247199074074</v>
      </c>
      <c r="K13" s="1">
        <v>45140.247199074074</v>
      </c>
    </row>
    <row r="14" spans="1:11" x14ac:dyDescent="0.3">
      <c r="A14">
        <v>311</v>
      </c>
      <c r="B14">
        <v>370</v>
      </c>
      <c r="C14" t="s">
        <v>29</v>
      </c>
      <c r="D14" t="s">
        <v>69</v>
      </c>
      <c r="G14" t="s">
        <v>70</v>
      </c>
      <c r="H14" t="s">
        <v>84</v>
      </c>
      <c r="J14" s="1">
        <v>45140.269930555558</v>
      </c>
      <c r="K14" s="1">
        <v>45140.269930555558</v>
      </c>
    </row>
    <row r="15" spans="1:11" x14ac:dyDescent="0.3">
      <c r="A15">
        <v>312</v>
      </c>
      <c r="B15">
        <v>371</v>
      </c>
      <c r="C15" t="s">
        <v>72</v>
      </c>
      <c r="D15" t="s">
        <v>73</v>
      </c>
      <c r="G15" t="s">
        <v>79</v>
      </c>
      <c r="H15" t="s">
        <v>71</v>
      </c>
      <c r="J15" s="1">
        <v>45140.271168981482</v>
      </c>
      <c r="K15" s="1">
        <v>45140.271168981482</v>
      </c>
    </row>
    <row r="16" spans="1:11" x14ac:dyDescent="0.3">
      <c r="A16">
        <v>313</v>
      </c>
      <c r="B16">
        <v>373</v>
      </c>
      <c r="C16" t="s">
        <v>29</v>
      </c>
      <c r="D16" t="s">
        <v>73</v>
      </c>
      <c r="G16" t="s">
        <v>70</v>
      </c>
      <c r="H16" t="s">
        <v>71</v>
      </c>
      <c r="J16" s="1">
        <v>45143.562465277777</v>
      </c>
      <c r="K16" s="1">
        <v>45143.562465277777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C2BDA-9266-4E90-BDF6-CF5EFF137418}">
  <sheetPr codeName="Sheet7"/>
  <dimension ref="A1:G12"/>
  <sheetViews>
    <sheetView workbookViewId="0">
      <selection activeCell="L5" sqref="L5"/>
    </sheetView>
  </sheetViews>
  <sheetFormatPr defaultRowHeight="15.6" x14ac:dyDescent="0.3"/>
  <cols>
    <col min="1" max="1" width="13.19921875" bestFit="1" customWidth="1"/>
    <col min="2" max="2" width="11.796875" bestFit="1" customWidth="1"/>
    <col min="3" max="3" width="18" bestFit="1" customWidth="1"/>
    <col min="4" max="4" width="12.19921875" bestFit="1" customWidth="1"/>
    <col min="5" max="5" width="8.09765625" bestFit="1" customWidth="1"/>
    <col min="6" max="7" width="14.296875" bestFit="1" customWidth="1"/>
  </cols>
  <sheetData>
    <row r="1" spans="1:7" x14ac:dyDescent="0.3">
      <c r="A1" t="s">
        <v>88</v>
      </c>
      <c r="B1" t="s">
        <v>91</v>
      </c>
      <c r="C1" t="s">
        <v>22</v>
      </c>
      <c r="D1" t="s">
        <v>23</v>
      </c>
      <c r="E1" t="s">
        <v>157</v>
      </c>
      <c r="F1" t="s">
        <v>25</v>
      </c>
      <c r="G1" t="s">
        <v>26</v>
      </c>
    </row>
    <row r="2" spans="1:7" x14ac:dyDescent="0.3">
      <c r="A2">
        <v>1</v>
      </c>
      <c r="B2" t="s">
        <v>124</v>
      </c>
      <c r="C2" t="s">
        <v>77</v>
      </c>
      <c r="D2" t="s">
        <v>158</v>
      </c>
      <c r="F2" s="1">
        <v>45101.715092592596</v>
      </c>
      <c r="G2" s="1">
        <v>45101.715092592596</v>
      </c>
    </row>
    <row r="3" spans="1:7" x14ac:dyDescent="0.3">
      <c r="A3">
        <v>53</v>
      </c>
      <c r="B3" t="s">
        <v>124</v>
      </c>
      <c r="C3" t="s">
        <v>77</v>
      </c>
      <c r="D3" t="s">
        <v>158</v>
      </c>
      <c r="F3" s="1">
        <v>45113.321157407408</v>
      </c>
      <c r="G3" s="1">
        <v>45113.321157407408</v>
      </c>
    </row>
    <row r="4" spans="1:7" x14ac:dyDescent="0.3">
      <c r="A4">
        <v>54</v>
      </c>
      <c r="B4" t="s">
        <v>124</v>
      </c>
      <c r="C4" t="s">
        <v>77</v>
      </c>
      <c r="D4" t="s">
        <v>158</v>
      </c>
      <c r="F4" s="1">
        <v>45123.514756944445</v>
      </c>
      <c r="G4" s="1">
        <v>45123.514756944445</v>
      </c>
    </row>
    <row r="5" spans="1:7" x14ac:dyDescent="0.3">
      <c r="A5">
        <v>56</v>
      </c>
      <c r="B5" t="s">
        <v>137</v>
      </c>
      <c r="C5" t="s">
        <v>136</v>
      </c>
      <c r="D5" t="s">
        <v>137</v>
      </c>
      <c r="F5" s="1">
        <v>45123.608194444445</v>
      </c>
      <c r="G5" s="1">
        <v>45123.608194444445</v>
      </c>
    </row>
    <row r="6" spans="1:7" x14ac:dyDescent="0.3">
      <c r="A6">
        <v>71</v>
      </c>
      <c r="B6" t="s">
        <v>124</v>
      </c>
      <c r="C6" t="s">
        <v>77</v>
      </c>
      <c r="D6" t="s">
        <v>159</v>
      </c>
      <c r="F6" s="1">
        <v>45139.830729166664</v>
      </c>
      <c r="G6" s="1">
        <v>45139.830729166664</v>
      </c>
    </row>
    <row r="7" spans="1:7" x14ac:dyDescent="0.3">
      <c r="A7">
        <v>72</v>
      </c>
      <c r="B7" t="s">
        <v>124</v>
      </c>
      <c r="C7" t="s">
        <v>77</v>
      </c>
      <c r="D7" t="s">
        <v>160</v>
      </c>
      <c r="F7" s="1">
        <v>45139.831018518518</v>
      </c>
      <c r="G7" s="1">
        <v>45139.831018518518</v>
      </c>
    </row>
    <row r="8" spans="1:7" x14ac:dyDescent="0.3">
      <c r="A8">
        <v>73</v>
      </c>
      <c r="B8" t="s">
        <v>124</v>
      </c>
      <c r="C8" t="s">
        <v>77</v>
      </c>
      <c r="D8" t="s">
        <v>161</v>
      </c>
      <c r="F8" s="1">
        <v>45139.83116898148</v>
      </c>
      <c r="G8" s="1">
        <v>45139.83116898148</v>
      </c>
    </row>
    <row r="9" spans="1:7" x14ac:dyDescent="0.3">
      <c r="A9">
        <v>74</v>
      </c>
      <c r="B9" t="s">
        <v>124</v>
      </c>
      <c r="C9" t="s">
        <v>77</v>
      </c>
      <c r="D9" t="s">
        <v>159</v>
      </c>
      <c r="F9" s="1">
        <v>45139.83216435185</v>
      </c>
      <c r="G9" s="1">
        <v>45139.83216435185</v>
      </c>
    </row>
    <row r="10" spans="1:7" x14ac:dyDescent="0.3">
      <c r="A10">
        <v>75</v>
      </c>
      <c r="B10" t="s">
        <v>124</v>
      </c>
      <c r="C10" t="s">
        <v>77</v>
      </c>
      <c r="D10" t="s">
        <v>159</v>
      </c>
      <c r="F10" s="1">
        <v>45140.180821759262</v>
      </c>
      <c r="G10" s="1">
        <v>45140.180821759262</v>
      </c>
    </row>
    <row r="11" spans="1:7" x14ac:dyDescent="0.3">
      <c r="A11">
        <v>76</v>
      </c>
      <c r="B11" t="s">
        <v>124</v>
      </c>
      <c r="C11" t="s">
        <v>77</v>
      </c>
      <c r="D11" t="s">
        <v>159</v>
      </c>
      <c r="F11" s="1">
        <v>45140.27275462963</v>
      </c>
      <c r="G11" s="1">
        <v>45140.27275462963</v>
      </c>
    </row>
    <row r="12" spans="1:7" x14ac:dyDescent="0.3">
      <c r="A12">
        <v>77</v>
      </c>
      <c r="B12" t="s">
        <v>124</v>
      </c>
      <c r="C12" t="s">
        <v>77</v>
      </c>
      <c r="D12" t="s">
        <v>162</v>
      </c>
      <c r="F12" s="1">
        <v>45141.294108796297</v>
      </c>
      <c r="G12" s="1">
        <v>45141.294108796297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A9EAC-1C77-450C-9CC4-B87F7C3E3788}">
  <sheetPr codeName="Sheet8"/>
  <dimension ref="A1:H7"/>
  <sheetViews>
    <sheetView workbookViewId="0">
      <selection activeCell="E22" sqref="E22"/>
    </sheetView>
  </sheetViews>
  <sheetFormatPr defaultRowHeight="15.6" x14ac:dyDescent="0.3"/>
  <cols>
    <col min="1" max="1" width="4.3984375" bestFit="1" customWidth="1"/>
    <col min="2" max="2" width="10" bestFit="1" customWidth="1"/>
    <col min="3" max="3" width="19.69921875" bestFit="1" customWidth="1"/>
    <col min="4" max="5" width="13.09765625" bestFit="1" customWidth="1"/>
    <col min="6" max="6" width="18.5" bestFit="1" customWidth="1"/>
    <col min="7" max="8" width="14.296875" bestFit="1" customWidth="1"/>
  </cols>
  <sheetData>
    <row r="1" spans="1:8" x14ac:dyDescent="0.3">
      <c r="A1" t="s">
        <v>19</v>
      </c>
      <c r="B1" t="s">
        <v>31</v>
      </c>
      <c r="C1" t="s">
        <v>163</v>
      </c>
      <c r="D1" t="s">
        <v>164</v>
      </c>
      <c r="E1" t="s">
        <v>165</v>
      </c>
      <c r="F1" t="s">
        <v>166</v>
      </c>
      <c r="G1" t="s">
        <v>25</v>
      </c>
      <c r="H1" t="s">
        <v>26</v>
      </c>
    </row>
    <row r="2" spans="1:8" x14ac:dyDescent="0.3">
      <c r="A2">
        <v>39</v>
      </c>
      <c r="B2">
        <v>302</v>
      </c>
      <c r="C2" s="2">
        <v>45156</v>
      </c>
      <c r="D2" t="s">
        <v>48</v>
      </c>
      <c r="E2">
        <v>2000</v>
      </c>
      <c r="F2">
        <v>3500</v>
      </c>
      <c r="G2" s="1">
        <v>45138.569398148145</v>
      </c>
      <c r="H2" s="1">
        <v>45138.569398148145</v>
      </c>
    </row>
    <row r="3" spans="1:8" x14ac:dyDescent="0.3">
      <c r="A3">
        <v>40</v>
      </c>
      <c r="B3">
        <v>304</v>
      </c>
      <c r="C3" s="2">
        <v>45164</v>
      </c>
      <c r="D3" t="s">
        <v>46</v>
      </c>
      <c r="E3">
        <v>800</v>
      </c>
      <c r="F3">
        <v>1450</v>
      </c>
      <c r="G3" s="1">
        <v>45138.635069444441</v>
      </c>
      <c r="H3" s="1">
        <v>45138.635069444441</v>
      </c>
    </row>
    <row r="4" spans="1:8" x14ac:dyDescent="0.3">
      <c r="A4">
        <v>41</v>
      </c>
      <c r="B4">
        <v>305</v>
      </c>
      <c r="C4" s="2">
        <v>45155</v>
      </c>
      <c r="D4" t="s">
        <v>51</v>
      </c>
      <c r="E4">
        <v>1000</v>
      </c>
      <c r="F4">
        <v>6900</v>
      </c>
      <c r="G4" s="1">
        <v>45139.803831018522</v>
      </c>
      <c r="H4" s="1">
        <v>45139.803831018522</v>
      </c>
    </row>
    <row r="5" spans="1:8" x14ac:dyDescent="0.3">
      <c r="A5">
        <v>42</v>
      </c>
      <c r="B5">
        <v>308</v>
      </c>
      <c r="C5" s="2">
        <v>45155</v>
      </c>
      <c r="D5" t="s">
        <v>56</v>
      </c>
      <c r="E5">
        <v>1000</v>
      </c>
      <c r="F5">
        <v>1900</v>
      </c>
      <c r="G5" s="1">
        <v>45140.152673611112</v>
      </c>
      <c r="H5" s="1">
        <v>45140.152673611112</v>
      </c>
    </row>
    <row r="6" spans="1:8" x14ac:dyDescent="0.3">
      <c r="A6">
        <v>43</v>
      </c>
      <c r="B6">
        <v>309</v>
      </c>
      <c r="C6" s="2">
        <v>45156</v>
      </c>
      <c r="D6" t="s">
        <v>57</v>
      </c>
      <c r="E6">
        <v>1500</v>
      </c>
      <c r="F6">
        <v>2700</v>
      </c>
      <c r="G6" s="1">
        <v>45140.244768518518</v>
      </c>
      <c r="H6" s="1">
        <v>45140.244768518518</v>
      </c>
    </row>
    <row r="7" spans="1:8" x14ac:dyDescent="0.3">
      <c r="A7">
        <v>44</v>
      </c>
      <c r="B7">
        <v>311</v>
      </c>
      <c r="C7" s="2">
        <v>45154</v>
      </c>
      <c r="D7" t="s">
        <v>59</v>
      </c>
      <c r="E7">
        <v>1000</v>
      </c>
      <c r="F7">
        <v>5700</v>
      </c>
      <c r="G7" s="1">
        <v>45140.270486111112</v>
      </c>
      <c r="H7" s="1">
        <v>45140.270486111112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350E-4668-488F-9F05-794F5321F71D}">
  <sheetPr codeName="Sheet9"/>
  <dimension ref="A1:Q17"/>
  <sheetViews>
    <sheetView workbookViewId="0">
      <selection activeCell="F21" sqref="F21"/>
    </sheetView>
  </sheetViews>
  <sheetFormatPr defaultRowHeight="15.6" x14ac:dyDescent="0.3"/>
  <cols>
    <col min="1" max="1" width="10.19921875" bestFit="1" customWidth="1"/>
    <col min="2" max="2" width="11.59765625" bestFit="1" customWidth="1"/>
    <col min="3" max="3" width="26.8984375" bestFit="1" customWidth="1"/>
    <col min="4" max="4" width="7.296875" bestFit="1" customWidth="1"/>
    <col min="5" max="5" width="12.69921875" bestFit="1" customWidth="1"/>
    <col min="6" max="6" width="15.5" bestFit="1" customWidth="1"/>
    <col min="7" max="7" width="20.09765625" bestFit="1" customWidth="1"/>
    <col min="8" max="8" width="18.19921875" bestFit="1" customWidth="1"/>
    <col min="9" max="9" width="20.5" bestFit="1" customWidth="1"/>
    <col min="10" max="10" width="15.69921875" bestFit="1" customWidth="1"/>
    <col min="11" max="11" width="15.5" bestFit="1" customWidth="1"/>
    <col min="12" max="13" width="14.296875" bestFit="1" customWidth="1"/>
    <col min="14" max="14" width="10" bestFit="1" customWidth="1"/>
    <col min="15" max="15" width="11.796875" bestFit="1" customWidth="1"/>
    <col min="16" max="16" width="8.5" bestFit="1" customWidth="1"/>
    <col min="17" max="17" width="15.3984375" bestFit="1" customWidth="1"/>
    <col min="18" max="18" width="8.5" bestFit="1" customWidth="1"/>
  </cols>
  <sheetData>
    <row r="1" spans="1:17" x14ac:dyDescent="0.3">
      <c r="A1" t="s">
        <v>167</v>
      </c>
      <c r="B1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t="s">
        <v>176</v>
      </c>
      <c r="K1" t="s">
        <v>177</v>
      </c>
      <c r="L1" t="s">
        <v>25</v>
      </c>
      <c r="M1" t="s">
        <v>26</v>
      </c>
      <c r="N1" t="s">
        <v>179</v>
      </c>
      <c r="O1" t="s">
        <v>180</v>
      </c>
      <c r="P1" t="s">
        <v>181</v>
      </c>
      <c r="Q1" t="s">
        <v>377</v>
      </c>
    </row>
    <row r="2" spans="1:17" x14ac:dyDescent="0.3">
      <c r="A2">
        <v>356</v>
      </c>
      <c r="B2" t="s">
        <v>182</v>
      </c>
      <c r="C2" t="s">
        <v>183</v>
      </c>
      <c r="D2">
        <v>4500</v>
      </c>
      <c r="E2" t="s">
        <v>184</v>
      </c>
      <c r="F2" t="s">
        <v>185</v>
      </c>
      <c r="G2" t="s">
        <v>40</v>
      </c>
      <c r="H2" t="s">
        <v>186</v>
      </c>
      <c r="I2" t="s">
        <v>187</v>
      </c>
      <c r="J2" t="s">
        <v>188</v>
      </c>
      <c r="K2" t="s">
        <v>189</v>
      </c>
      <c r="L2" s="1">
        <v>45138.559525462966</v>
      </c>
      <c r="M2" s="1">
        <v>45138.559988425928</v>
      </c>
      <c r="O2" t="s">
        <v>190</v>
      </c>
      <c r="P2">
        <v>0</v>
      </c>
      <c r="Q2" t="s">
        <v>226</v>
      </c>
    </row>
    <row r="3" spans="1:17" x14ac:dyDescent="0.3">
      <c r="A3">
        <v>358</v>
      </c>
      <c r="B3" t="s">
        <v>191</v>
      </c>
      <c r="C3" t="s">
        <v>192</v>
      </c>
      <c r="D3">
        <v>2500</v>
      </c>
      <c r="E3" t="s">
        <v>193</v>
      </c>
      <c r="F3" t="s">
        <v>194</v>
      </c>
      <c r="G3" t="s">
        <v>43</v>
      </c>
      <c r="H3" t="s">
        <v>195</v>
      </c>
      <c r="J3" t="s">
        <v>188</v>
      </c>
      <c r="K3" t="s">
        <v>188</v>
      </c>
      <c r="L3" s="1">
        <v>45138.565625000003</v>
      </c>
      <c r="M3" s="1">
        <v>45138.680486111109</v>
      </c>
      <c r="P3">
        <v>0</v>
      </c>
      <c r="Q3" t="s">
        <v>226</v>
      </c>
    </row>
    <row r="4" spans="1:17" x14ac:dyDescent="0.3">
      <c r="A4">
        <v>359</v>
      </c>
      <c r="B4" t="s">
        <v>196</v>
      </c>
      <c r="C4" t="s">
        <v>197</v>
      </c>
      <c r="D4">
        <v>2250</v>
      </c>
      <c r="E4" t="s">
        <v>198</v>
      </c>
      <c r="F4" t="s">
        <v>185</v>
      </c>
      <c r="G4" t="s">
        <v>43</v>
      </c>
      <c r="H4" t="s">
        <v>199</v>
      </c>
      <c r="J4" t="s">
        <v>189</v>
      </c>
      <c r="K4" t="s">
        <v>189</v>
      </c>
      <c r="L4" s="1">
        <v>45138.567488425928</v>
      </c>
      <c r="M4" s="1">
        <v>45138.567488425928</v>
      </c>
      <c r="P4">
        <v>0</v>
      </c>
      <c r="Q4" t="s">
        <v>226</v>
      </c>
    </row>
    <row r="5" spans="1:17" x14ac:dyDescent="0.3">
      <c r="A5">
        <v>360</v>
      </c>
      <c r="B5" t="s">
        <v>200</v>
      </c>
      <c r="C5" t="s">
        <v>201</v>
      </c>
      <c r="D5">
        <v>5300</v>
      </c>
      <c r="E5" t="s">
        <v>198</v>
      </c>
      <c r="F5" t="s">
        <v>185</v>
      </c>
      <c r="G5" t="s">
        <v>40</v>
      </c>
      <c r="H5" t="s">
        <v>186</v>
      </c>
      <c r="J5" t="s">
        <v>202</v>
      </c>
      <c r="K5" t="s">
        <v>189</v>
      </c>
      <c r="L5" s="1">
        <v>45138.568576388891</v>
      </c>
      <c r="M5" s="1">
        <v>45138.569490740738</v>
      </c>
      <c r="P5">
        <v>0</v>
      </c>
      <c r="Q5" t="s">
        <v>226</v>
      </c>
    </row>
    <row r="6" spans="1:17" x14ac:dyDescent="0.3">
      <c r="A6">
        <v>361</v>
      </c>
      <c r="B6" t="s">
        <v>203</v>
      </c>
      <c r="C6" t="s">
        <v>204</v>
      </c>
      <c r="D6">
        <v>7900</v>
      </c>
      <c r="E6" t="s">
        <v>198</v>
      </c>
      <c r="F6" t="s">
        <v>194</v>
      </c>
      <c r="G6" t="s">
        <v>50</v>
      </c>
      <c r="H6" t="s">
        <v>205</v>
      </c>
      <c r="J6" t="s">
        <v>188</v>
      </c>
      <c r="K6" t="s">
        <v>188</v>
      </c>
      <c r="L6" s="1">
        <v>45138.570081018515</v>
      </c>
      <c r="M6" s="1">
        <v>45138.68068287037</v>
      </c>
      <c r="P6">
        <v>0</v>
      </c>
      <c r="Q6" t="s">
        <v>226</v>
      </c>
    </row>
    <row r="7" spans="1:17" x14ac:dyDescent="0.3">
      <c r="A7">
        <v>362</v>
      </c>
      <c r="B7" t="s">
        <v>206</v>
      </c>
      <c r="C7" t="s">
        <v>207</v>
      </c>
      <c r="D7">
        <v>2250</v>
      </c>
      <c r="E7" t="s">
        <v>198</v>
      </c>
      <c r="F7" t="s">
        <v>194</v>
      </c>
      <c r="G7" t="s">
        <v>43</v>
      </c>
      <c r="H7" t="s">
        <v>199</v>
      </c>
      <c r="J7" t="s">
        <v>202</v>
      </c>
      <c r="K7" t="s">
        <v>189</v>
      </c>
      <c r="L7" s="1">
        <v>45138.634699074071</v>
      </c>
      <c r="M7" s="1">
        <v>45138.63517361111</v>
      </c>
      <c r="P7">
        <v>0</v>
      </c>
      <c r="Q7" t="s">
        <v>226</v>
      </c>
    </row>
    <row r="8" spans="1:17" x14ac:dyDescent="0.3">
      <c r="A8">
        <v>363</v>
      </c>
      <c r="B8" t="s">
        <v>200</v>
      </c>
      <c r="C8" t="s">
        <v>201</v>
      </c>
      <c r="D8">
        <v>7900</v>
      </c>
      <c r="E8" t="s">
        <v>198</v>
      </c>
      <c r="F8" t="s">
        <v>185</v>
      </c>
      <c r="G8" t="s">
        <v>50</v>
      </c>
      <c r="H8" t="s">
        <v>205</v>
      </c>
      <c r="I8" t="s">
        <v>208</v>
      </c>
      <c r="J8" t="s">
        <v>202</v>
      </c>
      <c r="K8" t="s">
        <v>189</v>
      </c>
      <c r="L8" s="1">
        <v>45139.703888888886</v>
      </c>
      <c r="M8" s="1">
        <v>45139.81490740741</v>
      </c>
      <c r="P8">
        <v>0</v>
      </c>
      <c r="Q8" t="s">
        <v>226</v>
      </c>
    </row>
    <row r="9" spans="1:17" x14ac:dyDescent="0.3">
      <c r="A9">
        <v>364</v>
      </c>
      <c r="B9" t="s">
        <v>206</v>
      </c>
      <c r="C9" t="s">
        <v>207</v>
      </c>
      <c r="D9">
        <v>2250</v>
      </c>
      <c r="E9" t="s">
        <v>198</v>
      </c>
      <c r="F9" t="s">
        <v>194</v>
      </c>
      <c r="G9" t="s">
        <v>43</v>
      </c>
      <c r="H9" t="s">
        <v>199</v>
      </c>
      <c r="I9" t="s">
        <v>209</v>
      </c>
      <c r="J9" t="s">
        <v>188</v>
      </c>
      <c r="K9" t="s">
        <v>188</v>
      </c>
      <c r="L9" s="1">
        <v>45139.817858796298</v>
      </c>
      <c r="M9" s="1">
        <v>45139.887708333335</v>
      </c>
      <c r="P9">
        <v>0</v>
      </c>
      <c r="Q9" t="s">
        <v>226</v>
      </c>
    </row>
    <row r="10" spans="1:17" x14ac:dyDescent="0.3">
      <c r="A10">
        <v>365</v>
      </c>
      <c r="B10" t="s">
        <v>210</v>
      </c>
      <c r="C10" t="s">
        <v>207</v>
      </c>
      <c r="D10">
        <v>7800</v>
      </c>
      <c r="E10" t="s">
        <v>211</v>
      </c>
      <c r="F10" t="s">
        <v>194</v>
      </c>
      <c r="G10" t="s">
        <v>50</v>
      </c>
      <c r="H10" t="s">
        <v>199</v>
      </c>
      <c r="J10" t="s">
        <v>189</v>
      </c>
      <c r="K10" t="s">
        <v>189</v>
      </c>
      <c r="L10" s="1">
        <v>45139.880046296297</v>
      </c>
      <c r="M10" s="1">
        <v>45139.880046296297</v>
      </c>
      <c r="P10">
        <v>0</v>
      </c>
      <c r="Q10" t="s">
        <v>226</v>
      </c>
    </row>
    <row r="11" spans="1:17" x14ac:dyDescent="0.3">
      <c r="A11">
        <v>367</v>
      </c>
      <c r="B11" t="s">
        <v>200</v>
      </c>
      <c r="C11" t="s">
        <v>201</v>
      </c>
      <c r="D11">
        <v>2900</v>
      </c>
      <c r="E11" t="s">
        <v>198</v>
      </c>
      <c r="F11" t="s">
        <v>185</v>
      </c>
      <c r="G11" t="s">
        <v>43</v>
      </c>
      <c r="H11" t="s">
        <v>205</v>
      </c>
      <c r="I11" t="s">
        <v>212</v>
      </c>
      <c r="J11" t="s">
        <v>202</v>
      </c>
      <c r="K11" t="s">
        <v>188</v>
      </c>
      <c r="L11" s="1">
        <v>45140.151909722219</v>
      </c>
      <c r="M11" s="1">
        <v>45140.154097222221</v>
      </c>
      <c r="P11">
        <v>0</v>
      </c>
      <c r="Q11" t="s">
        <v>226</v>
      </c>
    </row>
    <row r="12" spans="1:17" x14ac:dyDescent="0.3">
      <c r="A12">
        <v>368</v>
      </c>
      <c r="B12" t="s">
        <v>182</v>
      </c>
      <c r="C12" t="s">
        <v>183</v>
      </c>
      <c r="D12">
        <v>4200</v>
      </c>
      <c r="E12" t="s">
        <v>184</v>
      </c>
      <c r="F12" t="s">
        <v>185</v>
      </c>
      <c r="G12" t="s">
        <v>40</v>
      </c>
      <c r="H12" t="s">
        <v>199</v>
      </c>
      <c r="J12" t="s">
        <v>202</v>
      </c>
      <c r="K12" t="s">
        <v>189</v>
      </c>
      <c r="L12" s="1">
        <v>45140.244270833333</v>
      </c>
      <c r="M12" s="1">
        <v>45140.245324074072</v>
      </c>
      <c r="O12" t="s">
        <v>190</v>
      </c>
      <c r="P12">
        <v>0</v>
      </c>
      <c r="Q12" t="s">
        <v>226</v>
      </c>
    </row>
    <row r="13" spans="1:17" x14ac:dyDescent="0.3">
      <c r="A13">
        <v>369</v>
      </c>
      <c r="B13" t="s">
        <v>196</v>
      </c>
      <c r="C13" t="s">
        <v>197</v>
      </c>
      <c r="D13">
        <v>2650</v>
      </c>
      <c r="E13" t="s">
        <v>198</v>
      </c>
      <c r="F13" t="s">
        <v>185</v>
      </c>
      <c r="G13" t="s">
        <v>43</v>
      </c>
      <c r="H13" t="s">
        <v>205</v>
      </c>
      <c r="J13" t="s">
        <v>189</v>
      </c>
      <c r="K13" t="s">
        <v>189</v>
      </c>
      <c r="L13" s="1">
        <v>45140.245879629627</v>
      </c>
      <c r="M13" s="1">
        <v>45140.245879629627</v>
      </c>
      <c r="P13">
        <v>0</v>
      </c>
      <c r="Q13" t="s">
        <v>226</v>
      </c>
    </row>
    <row r="14" spans="1:17" x14ac:dyDescent="0.3">
      <c r="A14">
        <v>370</v>
      </c>
      <c r="B14" t="s">
        <v>182</v>
      </c>
      <c r="C14" t="s">
        <v>183</v>
      </c>
      <c r="D14">
        <v>6700</v>
      </c>
      <c r="E14" t="s">
        <v>184</v>
      </c>
      <c r="F14" t="s">
        <v>185</v>
      </c>
      <c r="G14" t="s">
        <v>50</v>
      </c>
      <c r="H14" t="s">
        <v>205</v>
      </c>
      <c r="J14" t="s">
        <v>202</v>
      </c>
      <c r="K14" t="s">
        <v>189</v>
      </c>
      <c r="L14" s="1">
        <v>45140.26767361111</v>
      </c>
      <c r="M14" s="1">
        <v>45140.270752314813</v>
      </c>
      <c r="O14" t="s">
        <v>190</v>
      </c>
      <c r="P14">
        <v>0</v>
      </c>
      <c r="Q14" t="s">
        <v>226</v>
      </c>
    </row>
    <row r="15" spans="1:17" x14ac:dyDescent="0.3">
      <c r="A15">
        <v>371</v>
      </c>
      <c r="B15" t="s">
        <v>213</v>
      </c>
      <c r="C15" t="s">
        <v>214</v>
      </c>
      <c r="D15">
        <v>4500</v>
      </c>
      <c r="E15" t="s">
        <v>198</v>
      </c>
      <c r="F15" t="s">
        <v>194</v>
      </c>
      <c r="G15" t="s">
        <v>40</v>
      </c>
      <c r="H15" t="s">
        <v>199</v>
      </c>
      <c r="J15" t="s">
        <v>189</v>
      </c>
      <c r="K15" t="s">
        <v>189</v>
      </c>
      <c r="L15" s="1">
        <v>45140.271006944444</v>
      </c>
      <c r="M15" s="1">
        <v>45140.271006944444</v>
      </c>
      <c r="P15">
        <v>0</v>
      </c>
      <c r="Q15" t="s">
        <v>226</v>
      </c>
    </row>
    <row r="16" spans="1:17" x14ac:dyDescent="0.3">
      <c r="A16">
        <v>372</v>
      </c>
      <c r="B16" t="s">
        <v>182</v>
      </c>
      <c r="C16" t="s">
        <v>183</v>
      </c>
      <c r="D16">
        <v>4500</v>
      </c>
      <c r="E16" t="s">
        <v>184</v>
      </c>
      <c r="F16" t="s">
        <v>185</v>
      </c>
      <c r="G16" t="s">
        <v>40</v>
      </c>
      <c r="H16" t="s">
        <v>186</v>
      </c>
      <c r="J16" t="s">
        <v>189</v>
      </c>
      <c r="K16" t="s">
        <v>188</v>
      </c>
      <c r="L16" s="1">
        <v>45141.292592592596</v>
      </c>
      <c r="M16" s="1">
        <v>45141.292592592596</v>
      </c>
      <c r="O16" t="s">
        <v>190</v>
      </c>
      <c r="P16">
        <v>0</v>
      </c>
      <c r="Q16" t="s">
        <v>226</v>
      </c>
    </row>
    <row r="17" spans="1:17" x14ac:dyDescent="0.3">
      <c r="A17">
        <v>373</v>
      </c>
      <c r="B17" t="s">
        <v>191</v>
      </c>
      <c r="C17" t="s">
        <v>192</v>
      </c>
      <c r="D17">
        <v>5400</v>
      </c>
      <c r="E17" t="s">
        <v>193</v>
      </c>
      <c r="F17" t="s">
        <v>194</v>
      </c>
      <c r="G17" t="s">
        <v>40</v>
      </c>
      <c r="H17" t="s">
        <v>205</v>
      </c>
      <c r="J17" t="s">
        <v>188</v>
      </c>
      <c r="K17" t="s">
        <v>189</v>
      </c>
      <c r="L17" s="1">
        <v>45143.561759259261</v>
      </c>
      <c r="M17" s="1">
        <v>45143.5625</v>
      </c>
      <c r="P17">
        <v>0</v>
      </c>
      <c r="Q17" t="s">
        <v>226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47C2C-5541-4499-9AE1-E4C62FA775A9}">
  <sheetPr codeName="Sheet10"/>
  <dimension ref="A1:N36"/>
  <sheetViews>
    <sheetView workbookViewId="0">
      <selection activeCell="K19" sqref="K19"/>
    </sheetView>
  </sheetViews>
  <sheetFormatPr defaultRowHeight="15.6" x14ac:dyDescent="0.3"/>
  <cols>
    <col min="1" max="1" width="4.3984375" bestFit="1" customWidth="1"/>
    <col min="2" max="2" width="11.59765625" bestFit="1" customWidth="1"/>
    <col min="3" max="3" width="33.8984375" bestFit="1" customWidth="1"/>
    <col min="4" max="4" width="14" bestFit="1" customWidth="1"/>
    <col min="5" max="5" width="17.09765625" bestFit="1" customWidth="1"/>
    <col min="6" max="6" width="27.5" bestFit="1" customWidth="1"/>
    <col min="7" max="7" width="13.19921875" bestFit="1" customWidth="1"/>
    <col min="8" max="8" width="11.59765625" bestFit="1" customWidth="1"/>
    <col min="9" max="9" width="15.5" bestFit="1" customWidth="1"/>
    <col min="10" max="10" width="7.8984375" bestFit="1" customWidth="1"/>
    <col min="11" max="11" width="15" bestFit="1" customWidth="1"/>
    <col min="12" max="12" width="20.3984375" bestFit="1" customWidth="1"/>
    <col min="13" max="14" width="14.296875" bestFit="1" customWidth="1"/>
  </cols>
  <sheetData>
    <row r="1" spans="1:14" x14ac:dyDescent="0.3">
      <c r="A1" t="s">
        <v>19</v>
      </c>
      <c r="B1" t="s">
        <v>168</v>
      </c>
      <c r="C1" t="s">
        <v>215</v>
      </c>
      <c r="D1" t="s">
        <v>33</v>
      </c>
      <c r="E1" t="s">
        <v>216</v>
      </c>
      <c r="F1" t="s">
        <v>217</v>
      </c>
      <c r="G1" t="s">
        <v>218</v>
      </c>
      <c r="H1" t="s">
        <v>219</v>
      </c>
      <c r="I1" t="s">
        <v>220</v>
      </c>
      <c r="J1" t="s">
        <v>221</v>
      </c>
      <c r="K1" t="s">
        <v>222</v>
      </c>
      <c r="L1" t="s">
        <v>223</v>
      </c>
      <c r="M1" t="s">
        <v>25</v>
      </c>
      <c r="N1" t="s">
        <v>26</v>
      </c>
    </row>
    <row r="2" spans="1:14" x14ac:dyDescent="0.3">
      <c r="A2">
        <v>1</v>
      </c>
      <c r="B2" t="s">
        <v>182</v>
      </c>
      <c r="C2" t="s">
        <v>224</v>
      </c>
      <c r="D2" t="s">
        <v>225</v>
      </c>
      <c r="E2" t="s">
        <v>226</v>
      </c>
      <c r="F2" t="s">
        <v>183</v>
      </c>
      <c r="G2" t="s">
        <v>40</v>
      </c>
      <c r="H2" t="s">
        <v>184</v>
      </c>
      <c r="I2" t="s">
        <v>185</v>
      </c>
      <c r="J2">
        <v>5</v>
      </c>
      <c r="K2" t="s">
        <v>190</v>
      </c>
      <c r="L2" t="s">
        <v>227</v>
      </c>
      <c r="M2" s="1">
        <v>45124.427395833336</v>
      </c>
      <c r="N2" s="1">
        <v>45124.427395833336</v>
      </c>
    </row>
    <row r="3" spans="1:14" x14ac:dyDescent="0.3">
      <c r="A3">
        <v>2</v>
      </c>
      <c r="B3" t="s">
        <v>213</v>
      </c>
      <c r="C3" t="s">
        <v>228</v>
      </c>
      <c r="D3" t="s">
        <v>229</v>
      </c>
      <c r="E3" t="s">
        <v>226</v>
      </c>
      <c r="F3" t="s">
        <v>214</v>
      </c>
      <c r="G3" t="s">
        <v>40</v>
      </c>
      <c r="H3" t="s">
        <v>198</v>
      </c>
      <c r="I3" t="s">
        <v>194</v>
      </c>
      <c r="J3">
        <v>5</v>
      </c>
      <c r="L3" t="s">
        <v>230</v>
      </c>
      <c r="M3" s="1">
        <v>45124.429930555554</v>
      </c>
      <c r="N3" s="1">
        <v>45124.429930555554</v>
      </c>
    </row>
    <row r="4" spans="1:14" x14ac:dyDescent="0.3">
      <c r="A4">
        <v>3</v>
      </c>
      <c r="B4" t="s">
        <v>191</v>
      </c>
      <c r="C4" t="s">
        <v>231</v>
      </c>
      <c r="D4" t="s">
        <v>232</v>
      </c>
      <c r="E4" t="s">
        <v>226</v>
      </c>
      <c r="F4" t="s">
        <v>192</v>
      </c>
      <c r="G4" t="s">
        <v>40</v>
      </c>
      <c r="H4" t="s">
        <v>193</v>
      </c>
      <c r="I4" t="s">
        <v>194</v>
      </c>
      <c r="J4">
        <v>0</v>
      </c>
      <c r="L4" t="s">
        <v>233</v>
      </c>
      <c r="M4" s="1">
        <v>45124.431435185186</v>
      </c>
      <c r="N4" s="1">
        <v>45124.431435185186</v>
      </c>
    </row>
    <row r="5" spans="1:14" x14ac:dyDescent="0.3">
      <c r="A5">
        <v>4</v>
      </c>
      <c r="B5" t="s">
        <v>196</v>
      </c>
      <c r="C5" t="s">
        <v>234</v>
      </c>
      <c r="D5" t="s">
        <v>235</v>
      </c>
      <c r="E5" t="s">
        <v>226</v>
      </c>
      <c r="F5" t="s">
        <v>197</v>
      </c>
      <c r="G5" t="s">
        <v>236</v>
      </c>
      <c r="H5" t="s">
        <v>198</v>
      </c>
      <c r="I5" t="s">
        <v>185</v>
      </c>
      <c r="J5">
        <v>5</v>
      </c>
      <c r="L5" t="s">
        <v>230</v>
      </c>
      <c r="M5" s="1">
        <v>45124.432372685187</v>
      </c>
      <c r="N5" s="1">
        <v>45124.432372685187</v>
      </c>
    </row>
    <row r="6" spans="1:14" x14ac:dyDescent="0.3">
      <c r="A6">
        <v>5</v>
      </c>
      <c r="B6" t="s">
        <v>200</v>
      </c>
      <c r="C6" t="s">
        <v>237</v>
      </c>
      <c r="D6" t="s">
        <v>232</v>
      </c>
      <c r="E6" t="s">
        <v>226</v>
      </c>
      <c r="F6" t="s">
        <v>201</v>
      </c>
      <c r="G6" t="s">
        <v>40</v>
      </c>
      <c r="H6" t="s">
        <v>198</v>
      </c>
      <c r="I6" t="s">
        <v>185</v>
      </c>
      <c r="J6">
        <v>0</v>
      </c>
      <c r="L6" t="s">
        <v>230</v>
      </c>
      <c r="M6" s="1">
        <v>45124.43346064815</v>
      </c>
      <c r="N6" s="1">
        <v>45124.43346064815</v>
      </c>
    </row>
    <row r="7" spans="1:14" x14ac:dyDescent="0.3">
      <c r="A7">
        <v>6</v>
      </c>
      <c r="B7" t="s">
        <v>206</v>
      </c>
      <c r="C7" t="s">
        <v>238</v>
      </c>
      <c r="D7" t="s">
        <v>235</v>
      </c>
      <c r="E7" t="s">
        <v>226</v>
      </c>
      <c r="F7" t="s">
        <v>207</v>
      </c>
      <c r="G7" t="s">
        <v>236</v>
      </c>
      <c r="H7" t="s">
        <v>198</v>
      </c>
      <c r="I7" t="s">
        <v>194</v>
      </c>
      <c r="J7">
        <v>4</v>
      </c>
      <c r="L7" t="s">
        <v>227</v>
      </c>
      <c r="M7" s="1">
        <v>45124.434444444443</v>
      </c>
      <c r="N7" s="1">
        <v>45124.434444444443</v>
      </c>
    </row>
    <row r="8" spans="1:14" x14ac:dyDescent="0.3">
      <c r="A8">
        <v>7</v>
      </c>
      <c r="B8" t="s">
        <v>239</v>
      </c>
      <c r="C8" t="s">
        <v>240</v>
      </c>
      <c r="D8" t="s">
        <v>225</v>
      </c>
      <c r="E8" t="s">
        <v>226</v>
      </c>
      <c r="F8" t="s">
        <v>241</v>
      </c>
      <c r="G8" t="s">
        <v>40</v>
      </c>
      <c r="H8" t="s">
        <v>184</v>
      </c>
      <c r="I8" t="s">
        <v>194</v>
      </c>
      <c r="J8">
        <v>0</v>
      </c>
      <c r="L8" t="s">
        <v>227</v>
      </c>
      <c r="M8" s="1">
        <v>45124.43545138889</v>
      </c>
      <c r="N8" s="1">
        <v>45124.43545138889</v>
      </c>
    </row>
    <row r="9" spans="1:14" x14ac:dyDescent="0.3">
      <c r="A9">
        <v>8</v>
      </c>
      <c r="B9" t="s">
        <v>242</v>
      </c>
      <c r="C9" t="s">
        <v>243</v>
      </c>
      <c r="D9" t="s">
        <v>244</v>
      </c>
      <c r="E9" t="s">
        <v>226</v>
      </c>
      <c r="F9" t="s">
        <v>245</v>
      </c>
      <c r="G9" t="s">
        <v>40</v>
      </c>
      <c r="H9" t="s">
        <v>193</v>
      </c>
      <c r="I9" t="s">
        <v>185</v>
      </c>
      <c r="J9">
        <v>0</v>
      </c>
      <c r="L9" t="s">
        <v>246</v>
      </c>
      <c r="M9" s="1">
        <v>45124.436342592591</v>
      </c>
      <c r="N9" s="1">
        <v>45124.436342592591</v>
      </c>
    </row>
    <row r="10" spans="1:14" x14ac:dyDescent="0.3">
      <c r="A10">
        <v>9</v>
      </c>
      <c r="B10" t="s">
        <v>203</v>
      </c>
      <c r="C10" t="s">
        <v>247</v>
      </c>
      <c r="D10" t="s">
        <v>232</v>
      </c>
      <c r="E10" t="s">
        <v>226</v>
      </c>
      <c r="F10" t="s">
        <v>204</v>
      </c>
      <c r="G10" t="s">
        <v>40</v>
      </c>
      <c r="H10" t="s">
        <v>198</v>
      </c>
      <c r="I10" t="s">
        <v>194</v>
      </c>
      <c r="J10">
        <v>5</v>
      </c>
      <c r="L10" t="s">
        <v>248</v>
      </c>
      <c r="M10" s="1">
        <v>45124.437372685185</v>
      </c>
      <c r="N10" s="1">
        <v>45124.437372685185</v>
      </c>
    </row>
    <row r="11" spans="1:14" x14ac:dyDescent="0.3">
      <c r="A11">
        <v>10</v>
      </c>
      <c r="B11" t="s">
        <v>249</v>
      </c>
      <c r="C11" t="s">
        <v>250</v>
      </c>
      <c r="D11" t="s">
        <v>225</v>
      </c>
      <c r="E11" t="s">
        <v>226</v>
      </c>
      <c r="F11" t="s">
        <v>251</v>
      </c>
      <c r="G11" t="s">
        <v>40</v>
      </c>
      <c r="H11" t="s">
        <v>198</v>
      </c>
      <c r="I11" t="s">
        <v>194</v>
      </c>
      <c r="J11">
        <v>0</v>
      </c>
      <c r="L11" t="s">
        <v>230</v>
      </c>
      <c r="M11" s="1">
        <v>45124.438032407408</v>
      </c>
      <c r="N11" s="1">
        <v>45124.438032407408</v>
      </c>
    </row>
    <row r="12" spans="1:14" x14ac:dyDescent="0.3">
      <c r="A12">
        <v>11</v>
      </c>
      <c r="B12" t="s">
        <v>252</v>
      </c>
      <c r="C12" t="s">
        <v>253</v>
      </c>
      <c r="D12" t="s">
        <v>254</v>
      </c>
      <c r="E12" t="s">
        <v>226</v>
      </c>
      <c r="F12" t="s">
        <v>255</v>
      </c>
      <c r="G12" t="s">
        <v>236</v>
      </c>
      <c r="H12" t="s">
        <v>198</v>
      </c>
      <c r="I12" t="s">
        <v>185</v>
      </c>
      <c r="J12">
        <v>0</v>
      </c>
      <c r="L12" t="s">
        <v>248</v>
      </c>
      <c r="M12" s="1">
        <v>45124.438969907409</v>
      </c>
      <c r="N12" s="1">
        <v>45124.438969907409</v>
      </c>
    </row>
    <row r="13" spans="1:14" x14ac:dyDescent="0.3">
      <c r="A13">
        <v>12</v>
      </c>
      <c r="B13" t="s">
        <v>256</v>
      </c>
      <c r="C13" t="s">
        <v>257</v>
      </c>
      <c r="D13" t="s">
        <v>254</v>
      </c>
      <c r="E13" t="s">
        <v>226</v>
      </c>
      <c r="F13" t="s">
        <v>258</v>
      </c>
      <c r="G13" t="s">
        <v>236</v>
      </c>
      <c r="H13" t="s">
        <v>193</v>
      </c>
      <c r="I13" t="s">
        <v>185</v>
      </c>
      <c r="J13">
        <v>5</v>
      </c>
      <c r="L13" t="s">
        <v>259</v>
      </c>
      <c r="M13" s="1">
        <v>45124.440011574072</v>
      </c>
      <c r="N13" s="1">
        <v>45124.440011574072</v>
      </c>
    </row>
    <row r="14" spans="1:14" x14ac:dyDescent="0.3">
      <c r="A14">
        <v>13</v>
      </c>
      <c r="B14" t="s">
        <v>260</v>
      </c>
      <c r="C14" t="s">
        <v>261</v>
      </c>
      <c r="D14" t="s">
        <v>262</v>
      </c>
      <c r="E14" t="s">
        <v>226</v>
      </c>
      <c r="F14" t="s">
        <v>263</v>
      </c>
      <c r="G14" t="s">
        <v>236</v>
      </c>
      <c r="H14" t="s">
        <v>184</v>
      </c>
      <c r="I14" t="s">
        <v>198</v>
      </c>
      <c r="J14">
        <v>0</v>
      </c>
      <c r="L14" t="s">
        <v>230</v>
      </c>
      <c r="M14" s="1">
        <v>45124.441851851851</v>
      </c>
      <c r="N14" s="1">
        <v>45124.441851851851</v>
      </c>
    </row>
    <row r="15" spans="1:14" x14ac:dyDescent="0.3">
      <c r="A15">
        <v>14</v>
      </c>
      <c r="B15" t="s">
        <v>210</v>
      </c>
      <c r="C15" t="s">
        <v>264</v>
      </c>
      <c r="D15" t="s">
        <v>265</v>
      </c>
      <c r="E15" t="s">
        <v>226</v>
      </c>
      <c r="F15" t="s">
        <v>207</v>
      </c>
      <c r="G15" t="s">
        <v>40</v>
      </c>
      <c r="H15" t="s">
        <v>211</v>
      </c>
      <c r="I15" t="s">
        <v>194</v>
      </c>
      <c r="J15">
        <v>5</v>
      </c>
      <c r="L15" t="s">
        <v>266</v>
      </c>
      <c r="M15" s="1">
        <v>45124.442766203705</v>
      </c>
      <c r="N15" s="1">
        <v>45124.442766203705</v>
      </c>
    </row>
    <row r="16" spans="1:14" x14ac:dyDescent="0.3">
      <c r="A16">
        <v>15</v>
      </c>
      <c r="B16" t="s">
        <v>267</v>
      </c>
      <c r="C16" t="s">
        <v>268</v>
      </c>
      <c r="D16" t="s">
        <v>229</v>
      </c>
      <c r="E16" t="s">
        <v>226</v>
      </c>
      <c r="F16" t="s">
        <v>269</v>
      </c>
      <c r="G16" t="s">
        <v>40</v>
      </c>
      <c r="H16" t="s">
        <v>193</v>
      </c>
      <c r="I16" t="s">
        <v>185</v>
      </c>
      <c r="J16">
        <v>0</v>
      </c>
      <c r="L16" t="s">
        <v>227</v>
      </c>
      <c r="M16" s="1">
        <v>45124.443622685183</v>
      </c>
      <c r="N16" s="1">
        <v>45124.443622685183</v>
      </c>
    </row>
    <row r="17" spans="1:14" x14ac:dyDescent="0.3">
      <c r="A17">
        <v>16</v>
      </c>
      <c r="B17" t="s">
        <v>270</v>
      </c>
      <c r="C17" t="s">
        <v>271</v>
      </c>
      <c r="D17" t="s">
        <v>272</v>
      </c>
      <c r="E17" t="s">
        <v>226</v>
      </c>
      <c r="F17" t="s">
        <v>273</v>
      </c>
      <c r="G17" t="s">
        <v>40</v>
      </c>
      <c r="H17" t="s">
        <v>198</v>
      </c>
      <c r="I17" t="s">
        <v>185</v>
      </c>
      <c r="J17">
        <v>4</v>
      </c>
      <c r="L17" t="s">
        <v>248</v>
      </c>
      <c r="M17" s="1">
        <v>45127.725821759261</v>
      </c>
      <c r="N17" s="1">
        <v>45127.725821759261</v>
      </c>
    </row>
    <row r="18" spans="1:14" x14ac:dyDescent="0.3">
      <c r="A18">
        <v>17</v>
      </c>
      <c r="B18" t="s">
        <v>274</v>
      </c>
      <c r="C18" t="s">
        <v>275</v>
      </c>
      <c r="D18" t="s">
        <v>262</v>
      </c>
      <c r="E18" t="s">
        <v>226</v>
      </c>
      <c r="F18" t="s">
        <v>276</v>
      </c>
      <c r="G18" t="s">
        <v>236</v>
      </c>
      <c r="H18" t="s">
        <v>193</v>
      </c>
      <c r="I18" t="s">
        <v>194</v>
      </c>
      <c r="J18">
        <v>0</v>
      </c>
      <c r="L18" t="s">
        <v>227</v>
      </c>
      <c r="M18" s="1">
        <v>45138.449918981481</v>
      </c>
      <c r="N18" s="1">
        <v>45138.449918981481</v>
      </c>
    </row>
    <row r="19" spans="1:14" x14ac:dyDescent="0.3">
      <c r="A19">
        <v>18</v>
      </c>
      <c r="B19" t="s">
        <v>277</v>
      </c>
      <c r="C19" t="s">
        <v>278</v>
      </c>
      <c r="D19" t="s">
        <v>229</v>
      </c>
      <c r="E19" t="s">
        <v>226</v>
      </c>
      <c r="F19" t="s">
        <v>279</v>
      </c>
      <c r="G19" t="s">
        <v>40</v>
      </c>
      <c r="H19" t="s">
        <v>211</v>
      </c>
      <c r="I19" t="s">
        <v>194</v>
      </c>
      <c r="J19">
        <v>0</v>
      </c>
      <c r="L19" t="s">
        <v>246</v>
      </c>
      <c r="M19" s="1">
        <v>45139.342824074076</v>
      </c>
      <c r="N19" s="1">
        <v>45139.342824074076</v>
      </c>
    </row>
    <row r="20" spans="1:14" x14ac:dyDescent="0.3">
      <c r="A20">
        <v>19</v>
      </c>
      <c r="B20" t="s">
        <v>280</v>
      </c>
      <c r="C20" t="s">
        <v>281</v>
      </c>
      <c r="D20" t="s">
        <v>229</v>
      </c>
      <c r="E20" t="s">
        <v>226</v>
      </c>
      <c r="F20" t="s">
        <v>282</v>
      </c>
      <c r="G20" t="s">
        <v>40</v>
      </c>
      <c r="H20" t="s">
        <v>193</v>
      </c>
      <c r="I20" t="s">
        <v>185</v>
      </c>
      <c r="J20">
        <v>0</v>
      </c>
      <c r="L20" t="s">
        <v>227</v>
      </c>
      <c r="M20" s="1">
        <v>45139.876782407409</v>
      </c>
      <c r="N20" s="1">
        <v>45139.876782407409</v>
      </c>
    </row>
    <row r="21" spans="1:14" x14ac:dyDescent="0.3">
      <c r="A21">
        <v>20</v>
      </c>
      <c r="B21" t="s">
        <v>283</v>
      </c>
      <c r="C21" t="s">
        <v>284</v>
      </c>
      <c r="D21" t="s">
        <v>285</v>
      </c>
      <c r="E21" t="s">
        <v>226</v>
      </c>
      <c r="F21" t="s">
        <v>286</v>
      </c>
      <c r="G21" t="s">
        <v>40</v>
      </c>
      <c r="H21" t="s">
        <v>287</v>
      </c>
      <c r="I21" t="s">
        <v>185</v>
      </c>
      <c r="J21">
        <v>0</v>
      </c>
      <c r="L21" t="s">
        <v>233</v>
      </c>
      <c r="M21" s="1">
        <v>45140.185856481483</v>
      </c>
      <c r="N21" s="1">
        <v>45140.185856481483</v>
      </c>
    </row>
    <row r="22" spans="1:14" x14ac:dyDescent="0.3">
      <c r="A22">
        <v>21</v>
      </c>
      <c r="B22" t="s">
        <v>300</v>
      </c>
      <c r="C22" t="s">
        <v>301</v>
      </c>
      <c r="D22" t="s">
        <v>302</v>
      </c>
      <c r="E22" t="s">
        <v>303</v>
      </c>
      <c r="F22" t="s">
        <v>304</v>
      </c>
      <c r="G22" t="s">
        <v>305</v>
      </c>
      <c r="H22" t="s">
        <v>304</v>
      </c>
      <c r="I22" t="s">
        <v>304</v>
      </c>
      <c r="J22">
        <v>5</v>
      </c>
      <c r="K22" t="s">
        <v>306</v>
      </c>
      <c r="L22" t="s">
        <v>304</v>
      </c>
      <c r="M22" s="1">
        <v>45141.229722222219</v>
      </c>
      <c r="N22" s="1">
        <v>45141.229722222219</v>
      </c>
    </row>
    <row r="23" spans="1:14" x14ac:dyDescent="0.3">
      <c r="A23">
        <v>22</v>
      </c>
      <c r="B23" t="s">
        <v>307</v>
      </c>
      <c r="C23" t="s">
        <v>308</v>
      </c>
      <c r="D23" t="s">
        <v>309</v>
      </c>
      <c r="E23" t="s">
        <v>303</v>
      </c>
      <c r="F23" t="s">
        <v>304</v>
      </c>
      <c r="G23" t="s">
        <v>305</v>
      </c>
      <c r="H23" t="s">
        <v>304</v>
      </c>
      <c r="I23" t="s">
        <v>304</v>
      </c>
      <c r="J23">
        <v>4</v>
      </c>
      <c r="K23" t="s">
        <v>310</v>
      </c>
      <c r="L23" t="s">
        <v>304</v>
      </c>
      <c r="M23" s="1">
        <v>45141.233101851853</v>
      </c>
      <c r="N23" s="1">
        <v>45141.233101851853</v>
      </c>
    </row>
    <row r="24" spans="1:14" x14ac:dyDescent="0.3">
      <c r="A24">
        <v>23</v>
      </c>
      <c r="B24" t="s">
        <v>311</v>
      </c>
      <c r="C24" t="s">
        <v>312</v>
      </c>
      <c r="D24" t="s">
        <v>313</v>
      </c>
      <c r="E24" t="s">
        <v>303</v>
      </c>
      <c r="F24" t="s">
        <v>304</v>
      </c>
      <c r="G24" t="s">
        <v>305</v>
      </c>
      <c r="H24" t="s">
        <v>304</v>
      </c>
      <c r="I24" t="s">
        <v>304</v>
      </c>
      <c r="J24">
        <v>0</v>
      </c>
      <c r="K24" t="s">
        <v>304</v>
      </c>
      <c r="L24" t="s">
        <v>304</v>
      </c>
      <c r="M24" s="1">
        <v>45141.272685185184</v>
      </c>
      <c r="N24" s="1">
        <v>45141.272685185184</v>
      </c>
    </row>
    <row r="25" spans="1:14" x14ac:dyDescent="0.3">
      <c r="A25">
        <v>24</v>
      </c>
      <c r="B25" t="s">
        <v>314</v>
      </c>
      <c r="C25" t="s">
        <v>315</v>
      </c>
      <c r="D25" t="s">
        <v>316</v>
      </c>
      <c r="E25" t="s">
        <v>303</v>
      </c>
      <c r="F25" t="s">
        <v>304</v>
      </c>
      <c r="G25" t="s">
        <v>305</v>
      </c>
      <c r="H25" t="s">
        <v>304</v>
      </c>
      <c r="I25" t="s">
        <v>304</v>
      </c>
      <c r="J25">
        <v>0</v>
      </c>
      <c r="K25" t="s">
        <v>304</v>
      </c>
      <c r="L25" t="s">
        <v>304</v>
      </c>
      <c r="M25" s="1">
        <v>45142.243298611109</v>
      </c>
      <c r="N25" s="1">
        <v>45142.243298611109</v>
      </c>
    </row>
    <row r="26" spans="1:14" x14ac:dyDescent="0.3">
      <c r="A26">
        <v>25</v>
      </c>
      <c r="B26" t="s">
        <v>317</v>
      </c>
      <c r="C26" t="s">
        <v>318</v>
      </c>
      <c r="D26" t="s">
        <v>319</v>
      </c>
      <c r="E26" t="s">
        <v>320</v>
      </c>
      <c r="F26" t="s">
        <v>304</v>
      </c>
      <c r="G26" t="s">
        <v>40</v>
      </c>
      <c r="H26" t="s">
        <v>193</v>
      </c>
      <c r="I26" t="s">
        <v>185</v>
      </c>
      <c r="J26">
        <v>5</v>
      </c>
      <c r="K26" t="s">
        <v>321</v>
      </c>
      <c r="L26" t="s">
        <v>304</v>
      </c>
      <c r="M26" s="1">
        <v>45142.364930555559</v>
      </c>
      <c r="N26" s="1">
        <v>45142.364930555559</v>
      </c>
    </row>
    <row r="27" spans="1:14" x14ac:dyDescent="0.3">
      <c r="A27">
        <v>26</v>
      </c>
      <c r="B27" t="s">
        <v>322</v>
      </c>
      <c r="C27" t="s">
        <v>323</v>
      </c>
      <c r="D27" t="s">
        <v>324</v>
      </c>
      <c r="E27" t="s">
        <v>320</v>
      </c>
      <c r="F27" t="s">
        <v>304</v>
      </c>
      <c r="G27" t="s">
        <v>40</v>
      </c>
      <c r="H27" t="s">
        <v>198</v>
      </c>
      <c r="I27" t="s">
        <v>198</v>
      </c>
      <c r="J27">
        <v>4</v>
      </c>
      <c r="K27" t="s">
        <v>304</v>
      </c>
      <c r="L27" t="s">
        <v>304</v>
      </c>
      <c r="M27" s="1">
        <v>45142.382187499999</v>
      </c>
      <c r="N27" s="1">
        <v>45142.382187499999</v>
      </c>
    </row>
    <row r="28" spans="1:14" x14ac:dyDescent="0.3">
      <c r="A28">
        <v>27</v>
      </c>
      <c r="B28" t="s">
        <v>325</v>
      </c>
      <c r="C28" t="s">
        <v>326</v>
      </c>
      <c r="D28" t="s">
        <v>327</v>
      </c>
      <c r="E28" t="s">
        <v>328</v>
      </c>
      <c r="F28" t="s">
        <v>304</v>
      </c>
      <c r="G28" t="s">
        <v>329</v>
      </c>
      <c r="H28" t="s">
        <v>193</v>
      </c>
      <c r="I28" t="s">
        <v>194</v>
      </c>
      <c r="J28">
        <v>5</v>
      </c>
      <c r="K28" t="s">
        <v>330</v>
      </c>
      <c r="L28" t="s">
        <v>304</v>
      </c>
      <c r="M28" s="1">
        <v>45143.321180555555</v>
      </c>
      <c r="N28" s="1">
        <v>45143.321180555555</v>
      </c>
    </row>
    <row r="29" spans="1:14" x14ac:dyDescent="0.3">
      <c r="A29">
        <v>28</v>
      </c>
      <c r="B29" t="s">
        <v>331</v>
      </c>
      <c r="C29" t="s">
        <v>332</v>
      </c>
      <c r="D29" t="s">
        <v>333</v>
      </c>
      <c r="E29" t="s">
        <v>328</v>
      </c>
      <c r="F29" t="s">
        <v>304</v>
      </c>
      <c r="G29" t="s">
        <v>329</v>
      </c>
      <c r="H29" t="s">
        <v>198</v>
      </c>
      <c r="I29" t="s">
        <v>194</v>
      </c>
      <c r="J29">
        <v>0</v>
      </c>
      <c r="K29" t="s">
        <v>304</v>
      </c>
      <c r="L29" t="s">
        <v>304</v>
      </c>
      <c r="M29" s="1">
        <v>45144.182291666664</v>
      </c>
      <c r="N29" s="1">
        <v>45144.182291666664</v>
      </c>
    </row>
    <row r="30" spans="1:14" x14ac:dyDescent="0.3">
      <c r="A30">
        <v>29</v>
      </c>
      <c r="B30" t="s">
        <v>334</v>
      </c>
      <c r="C30" t="s">
        <v>335</v>
      </c>
      <c r="D30" t="s">
        <v>336</v>
      </c>
      <c r="E30" t="s">
        <v>328</v>
      </c>
      <c r="F30" t="s">
        <v>304</v>
      </c>
      <c r="G30" t="s">
        <v>337</v>
      </c>
      <c r="H30" t="s">
        <v>193</v>
      </c>
      <c r="I30" t="s">
        <v>194</v>
      </c>
      <c r="J30">
        <v>0</v>
      </c>
      <c r="K30" t="s">
        <v>304</v>
      </c>
      <c r="L30" t="s">
        <v>304</v>
      </c>
      <c r="M30" s="1">
        <v>45144.314004629632</v>
      </c>
      <c r="N30" s="1">
        <v>45144.314004629632</v>
      </c>
    </row>
    <row r="31" spans="1:14" x14ac:dyDescent="0.3">
      <c r="A31">
        <v>30</v>
      </c>
      <c r="B31" t="s">
        <v>338</v>
      </c>
      <c r="C31" t="s">
        <v>339</v>
      </c>
      <c r="D31" t="s">
        <v>340</v>
      </c>
      <c r="E31" t="s">
        <v>328</v>
      </c>
      <c r="F31" t="s">
        <v>304</v>
      </c>
      <c r="G31" t="s">
        <v>341</v>
      </c>
      <c r="H31" t="s">
        <v>193</v>
      </c>
      <c r="I31" t="s">
        <v>194</v>
      </c>
      <c r="J31">
        <v>0</v>
      </c>
      <c r="K31" t="s">
        <v>304</v>
      </c>
      <c r="L31" t="s">
        <v>304</v>
      </c>
      <c r="M31" s="1">
        <v>45145.234837962962</v>
      </c>
      <c r="N31" s="1">
        <v>45145.234837962962</v>
      </c>
    </row>
    <row r="32" spans="1:14" x14ac:dyDescent="0.3">
      <c r="A32">
        <v>31</v>
      </c>
      <c r="B32" t="s">
        <v>342</v>
      </c>
      <c r="C32" t="s">
        <v>343</v>
      </c>
      <c r="D32" t="s">
        <v>344</v>
      </c>
      <c r="E32" t="s">
        <v>345</v>
      </c>
      <c r="F32" t="s">
        <v>304</v>
      </c>
      <c r="G32" t="s">
        <v>305</v>
      </c>
      <c r="H32" t="s">
        <v>193</v>
      </c>
      <c r="I32" t="s">
        <v>194</v>
      </c>
      <c r="J32">
        <v>5</v>
      </c>
      <c r="K32" t="s">
        <v>306</v>
      </c>
      <c r="L32" t="s">
        <v>304</v>
      </c>
      <c r="M32" s="1">
        <v>45146.177384259259</v>
      </c>
      <c r="N32" s="1">
        <v>45146.177384259259</v>
      </c>
    </row>
    <row r="33" spans="1:14" x14ac:dyDescent="0.3">
      <c r="A33">
        <v>32</v>
      </c>
      <c r="B33" t="s">
        <v>346</v>
      </c>
      <c r="C33" t="s">
        <v>347</v>
      </c>
      <c r="D33" t="s">
        <v>348</v>
      </c>
      <c r="E33" t="s">
        <v>345</v>
      </c>
      <c r="F33" t="s">
        <v>304</v>
      </c>
      <c r="G33" t="s">
        <v>305</v>
      </c>
      <c r="H33" t="s">
        <v>198</v>
      </c>
      <c r="I33" t="s">
        <v>185</v>
      </c>
      <c r="J33">
        <v>5</v>
      </c>
      <c r="K33" t="s">
        <v>304</v>
      </c>
      <c r="L33" t="s">
        <v>304</v>
      </c>
      <c r="M33" s="1">
        <v>45146.309328703705</v>
      </c>
      <c r="N33" s="1">
        <v>45146.309328703705</v>
      </c>
    </row>
    <row r="34" spans="1:14" x14ac:dyDescent="0.3">
      <c r="A34">
        <v>33</v>
      </c>
      <c r="B34" t="s">
        <v>349</v>
      </c>
      <c r="C34" t="s">
        <v>350</v>
      </c>
      <c r="D34" t="s">
        <v>351</v>
      </c>
      <c r="E34" t="s">
        <v>345</v>
      </c>
      <c r="F34" t="s">
        <v>304</v>
      </c>
      <c r="G34" t="s">
        <v>305</v>
      </c>
      <c r="H34" t="s">
        <v>184</v>
      </c>
      <c r="I34" t="s">
        <v>185</v>
      </c>
      <c r="J34">
        <v>4</v>
      </c>
      <c r="K34" t="s">
        <v>304</v>
      </c>
      <c r="L34" t="s">
        <v>304</v>
      </c>
      <c r="M34" s="1">
        <v>45146.345462962963</v>
      </c>
      <c r="N34" s="1">
        <v>45146.345462962963</v>
      </c>
    </row>
    <row r="35" spans="1:14" x14ac:dyDescent="0.3">
      <c r="A35">
        <v>34</v>
      </c>
      <c r="B35" t="s">
        <v>352</v>
      </c>
      <c r="C35" t="s">
        <v>353</v>
      </c>
      <c r="D35" t="s">
        <v>354</v>
      </c>
      <c r="E35" t="s">
        <v>345</v>
      </c>
      <c r="F35" t="s">
        <v>304</v>
      </c>
      <c r="G35" t="s">
        <v>305</v>
      </c>
      <c r="H35" t="s">
        <v>211</v>
      </c>
      <c r="I35" t="s">
        <v>194</v>
      </c>
      <c r="J35">
        <v>5</v>
      </c>
      <c r="K35" t="s">
        <v>304</v>
      </c>
      <c r="L35" t="s">
        <v>304</v>
      </c>
      <c r="M35" s="1">
        <v>45147.052384259259</v>
      </c>
      <c r="N35" s="1">
        <v>45147.052384259259</v>
      </c>
    </row>
    <row r="36" spans="1:14" x14ac:dyDescent="0.3">
      <c r="A36">
        <v>35</v>
      </c>
      <c r="B36" t="s">
        <v>355</v>
      </c>
      <c r="C36" t="s">
        <v>356</v>
      </c>
      <c r="D36" t="s">
        <v>344</v>
      </c>
      <c r="E36" t="s">
        <v>345</v>
      </c>
      <c r="F36" t="s">
        <v>304</v>
      </c>
      <c r="G36" t="s">
        <v>305</v>
      </c>
      <c r="H36" t="s">
        <v>198</v>
      </c>
      <c r="I36" t="s">
        <v>185</v>
      </c>
      <c r="J36">
        <v>5</v>
      </c>
      <c r="K36" t="s">
        <v>304</v>
      </c>
      <c r="L36" t="s">
        <v>304</v>
      </c>
      <c r="M36" s="1">
        <v>45146.446006944447</v>
      </c>
      <c r="N36" s="1">
        <v>45146.446006944447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0F46-E3DC-4D89-ACA7-CA37A6E4D38C}">
  <sheetPr codeName="Sheet12"/>
  <dimension ref="A1:P63"/>
  <sheetViews>
    <sheetView topLeftCell="C1" workbookViewId="0">
      <selection activeCell="K19" sqref="K19"/>
    </sheetView>
  </sheetViews>
  <sheetFormatPr defaultRowHeight="15.6" x14ac:dyDescent="0.3"/>
  <cols>
    <col min="1" max="2" width="17.09765625" style="25" hidden="1" customWidth="1"/>
    <col min="3" max="3" width="17.09765625" style="25" customWidth="1"/>
    <col min="4" max="4" width="14.5" style="25" customWidth="1"/>
    <col min="5" max="5" width="10.796875" style="25" customWidth="1"/>
    <col min="6" max="13" width="8.796875" style="25"/>
    <col min="14" max="14" width="14.3984375" style="25" bestFit="1" customWidth="1"/>
    <col min="15" max="16384" width="8.796875" style="25"/>
  </cols>
  <sheetData>
    <row r="1" spans="1:16" x14ac:dyDescent="0.3">
      <c r="I1" s="48" t="s">
        <v>395</v>
      </c>
      <c r="J1" s="48"/>
      <c r="K1" s="48"/>
      <c r="L1" s="48"/>
      <c r="M1" s="48"/>
    </row>
    <row r="2" spans="1:16" x14ac:dyDescent="0.3">
      <c r="I2" s="48"/>
      <c r="J2" s="48"/>
      <c r="K2" s="48"/>
      <c r="L2" s="48"/>
      <c r="M2" s="48"/>
    </row>
    <row r="4" spans="1:16" x14ac:dyDescent="0.3">
      <c r="A4" s="27" t="s">
        <v>377</v>
      </c>
      <c r="B4" s="28" t="s">
        <v>38</v>
      </c>
      <c r="C4" s="29" t="s">
        <v>377</v>
      </c>
      <c r="D4" s="30" t="s">
        <v>393</v>
      </c>
      <c r="N4" s="30" t="s">
        <v>67</v>
      </c>
      <c r="O4" s="31" t="s">
        <v>376</v>
      </c>
      <c r="P4" s="31" t="s">
        <v>394</v>
      </c>
    </row>
    <row r="5" spans="1:16" x14ac:dyDescent="0.3">
      <c r="A5" s="32" t="s">
        <v>226</v>
      </c>
      <c r="B5" s="33">
        <v>4500</v>
      </c>
      <c r="C5" s="34" t="s">
        <v>226</v>
      </c>
      <c r="D5" s="35">
        <f>SUMIF($A$5:$A$28,C5,$B$5:$B$28)</f>
        <v>62900</v>
      </c>
      <c r="N5" s="32" t="s">
        <v>71</v>
      </c>
      <c r="O5" s="32">
        <f>SUMIF($A$49:$A$63,N5,$B$49:$B$63)</f>
        <v>9</v>
      </c>
      <c r="P5" s="36">
        <f>O5/15</f>
        <v>0.6</v>
      </c>
    </row>
    <row r="6" spans="1:16" x14ac:dyDescent="0.3">
      <c r="A6" s="32" t="s">
        <v>226</v>
      </c>
      <c r="B6" s="33">
        <v>2700</v>
      </c>
      <c r="C6" s="34" t="s">
        <v>303</v>
      </c>
      <c r="D6" s="35">
        <f t="shared" ref="D6:D9" si="0">SUMIF($A$5:$A$28,C6,$B$5:$B$28)</f>
        <v>56000</v>
      </c>
      <c r="N6" s="32" t="s">
        <v>84</v>
      </c>
      <c r="O6" s="32">
        <f>SUMIF($A$49:$A$63,N6,$B$49:$B$63)</f>
        <v>6</v>
      </c>
      <c r="P6" s="36">
        <f>O6/15</f>
        <v>0.4</v>
      </c>
    </row>
    <row r="7" spans="1:16" x14ac:dyDescent="0.3">
      <c r="A7" s="32" t="s">
        <v>226</v>
      </c>
      <c r="B7" s="33">
        <v>2250</v>
      </c>
      <c r="C7" s="34" t="s">
        <v>320</v>
      </c>
      <c r="D7" s="35">
        <f t="shared" si="0"/>
        <v>7500</v>
      </c>
    </row>
    <row r="8" spans="1:16" x14ac:dyDescent="0.3">
      <c r="A8" s="32" t="s">
        <v>226</v>
      </c>
      <c r="B8" s="33">
        <v>5500</v>
      </c>
      <c r="C8" s="34" t="s">
        <v>345</v>
      </c>
      <c r="D8" s="35">
        <f t="shared" si="0"/>
        <v>11400</v>
      </c>
    </row>
    <row r="9" spans="1:16" x14ac:dyDescent="0.3">
      <c r="A9" s="32" t="s">
        <v>226</v>
      </c>
      <c r="B9" s="33">
        <v>7900</v>
      </c>
      <c r="C9" s="34" t="s">
        <v>328</v>
      </c>
      <c r="D9" s="35">
        <f t="shared" si="0"/>
        <v>33000</v>
      </c>
    </row>
    <row r="10" spans="1:16" x14ac:dyDescent="0.3">
      <c r="A10" s="32" t="s">
        <v>226</v>
      </c>
      <c r="B10" s="35">
        <v>2250</v>
      </c>
      <c r="D10" s="41">
        <f>SUM(D5:D9)</f>
        <v>170800</v>
      </c>
    </row>
    <row r="11" spans="1:16" x14ac:dyDescent="0.3">
      <c r="A11" s="32" t="s">
        <v>226</v>
      </c>
      <c r="B11" s="35">
        <v>7900</v>
      </c>
    </row>
    <row r="12" spans="1:16" x14ac:dyDescent="0.3">
      <c r="A12" s="32" t="s">
        <v>226</v>
      </c>
      <c r="B12" s="35">
        <v>2450</v>
      </c>
    </row>
    <row r="13" spans="1:16" x14ac:dyDescent="0.3">
      <c r="A13" s="32" t="s">
        <v>226</v>
      </c>
      <c r="B13" s="35">
        <v>7800</v>
      </c>
    </row>
    <row r="14" spans="1:16" x14ac:dyDescent="0.3">
      <c r="A14" s="32" t="s">
        <v>226</v>
      </c>
      <c r="B14" s="35">
        <v>2900</v>
      </c>
    </row>
    <row r="15" spans="1:16" x14ac:dyDescent="0.3">
      <c r="A15" s="32" t="s">
        <v>226</v>
      </c>
      <c r="B15" s="35">
        <v>4200</v>
      </c>
    </row>
    <row r="16" spans="1:16" x14ac:dyDescent="0.3">
      <c r="A16" s="32" t="s">
        <v>226</v>
      </c>
      <c r="B16" s="35">
        <v>2650</v>
      </c>
    </row>
    <row r="17" spans="1:5" x14ac:dyDescent="0.3">
      <c r="A17" s="32" t="s">
        <v>226</v>
      </c>
      <c r="B17" s="35">
        <v>4500</v>
      </c>
    </row>
    <row r="18" spans="1:5" x14ac:dyDescent="0.3">
      <c r="A18" s="32" t="s">
        <v>226</v>
      </c>
      <c r="B18" s="35">
        <v>5400</v>
      </c>
    </row>
    <row r="19" spans="1:5" x14ac:dyDescent="0.3">
      <c r="A19" s="32" t="s">
        <v>303</v>
      </c>
      <c r="B19" s="35">
        <v>25000</v>
      </c>
    </row>
    <row r="20" spans="1:5" x14ac:dyDescent="0.3">
      <c r="A20" s="32" t="s">
        <v>303</v>
      </c>
      <c r="B20" s="35">
        <v>16000</v>
      </c>
      <c r="C20" s="31" t="s">
        <v>66</v>
      </c>
      <c r="D20" s="31" t="s">
        <v>376</v>
      </c>
      <c r="E20" s="31" t="s">
        <v>394</v>
      </c>
    </row>
    <row r="21" spans="1:5" x14ac:dyDescent="0.3">
      <c r="A21" s="32" t="s">
        <v>303</v>
      </c>
      <c r="B21" s="35">
        <v>15000</v>
      </c>
      <c r="C21" s="25" t="s">
        <v>70</v>
      </c>
      <c r="D21" s="25">
        <f>SUMIF($A$32:$A$46,C21,$B$32:$B$46)</f>
        <v>9</v>
      </c>
      <c r="E21" s="37">
        <f>D21/15</f>
        <v>0.6</v>
      </c>
    </row>
    <row r="22" spans="1:5" x14ac:dyDescent="0.3">
      <c r="A22" s="32" t="s">
        <v>320</v>
      </c>
      <c r="B22" s="35">
        <v>3000</v>
      </c>
      <c r="C22" s="25" t="s">
        <v>76</v>
      </c>
      <c r="D22" s="25">
        <f t="shared" ref="D22:D23" si="1">SUMIF($A$32:$A$46,C22,$B$32:$B$46)</f>
        <v>2</v>
      </c>
      <c r="E22" s="37">
        <f>D22/15</f>
        <v>0.13333333333333333</v>
      </c>
    </row>
    <row r="23" spans="1:5" x14ac:dyDescent="0.3">
      <c r="A23" s="32" t="s">
        <v>320</v>
      </c>
      <c r="B23" s="35">
        <v>4500</v>
      </c>
      <c r="C23" s="25" t="s">
        <v>79</v>
      </c>
      <c r="D23" s="25">
        <f t="shared" si="1"/>
        <v>4</v>
      </c>
      <c r="E23" s="37">
        <f>D23/15</f>
        <v>0.26666666666666666</v>
      </c>
    </row>
    <row r="24" spans="1:5" x14ac:dyDescent="0.3">
      <c r="A24" s="32" t="s">
        <v>345</v>
      </c>
      <c r="B24" s="35">
        <v>3000</v>
      </c>
    </row>
    <row r="25" spans="1:5" x14ac:dyDescent="0.3">
      <c r="A25" s="32" t="s">
        <v>345</v>
      </c>
      <c r="B25" s="35">
        <v>4000</v>
      </c>
    </row>
    <row r="26" spans="1:5" x14ac:dyDescent="0.3">
      <c r="A26" s="32" t="s">
        <v>345</v>
      </c>
      <c r="B26" s="35">
        <v>4400</v>
      </c>
    </row>
    <row r="27" spans="1:5" x14ac:dyDescent="0.3">
      <c r="A27" s="32" t="s">
        <v>328</v>
      </c>
      <c r="B27" s="35">
        <v>15000</v>
      </c>
    </row>
    <row r="28" spans="1:5" x14ac:dyDescent="0.3">
      <c r="A28" s="32" t="s">
        <v>328</v>
      </c>
      <c r="B28" s="35">
        <v>18000</v>
      </c>
    </row>
    <row r="31" spans="1:5" x14ac:dyDescent="0.3">
      <c r="A31" s="31" t="s">
        <v>66</v>
      </c>
      <c r="B31" s="31" t="s">
        <v>376</v>
      </c>
    </row>
    <row r="32" spans="1:5" x14ac:dyDescent="0.3">
      <c r="A32" s="25" t="s">
        <v>70</v>
      </c>
      <c r="B32" s="25">
        <v>1</v>
      </c>
    </row>
    <row r="33" spans="1:2" x14ac:dyDescent="0.3">
      <c r="A33" s="25" t="s">
        <v>76</v>
      </c>
      <c r="B33" s="25">
        <v>1</v>
      </c>
    </row>
    <row r="34" spans="1:2" x14ac:dyDescent="0.3">
      <c r="A34" s="25" t="s">
        <v>79</v>
      </c>
      <c r="B34" s="25">
        <v>1</v>
      </c>
    </row>
    <row r="35" spans="1:2" x14ac:dyDescent="0.3">
      <c r="A35" s="25" t="s">
        <v>70</v>
      </c>
      <c r="B35" s="25">
        <v>1</v>
      </c>
    </row>
    <row r="36" spans="1:2" x14ac:dyDescent="0.3">
      <c r="A36" s="25" t="s">
        <v>70</v>
      </c>
      <c r="B36" s="25">
        <v>1</v>
      </c>
    </row>
    <row r="37" spans="1:2" x14ac:dyDescent="0.3">
      <c r="A37" s="25" t="s">
        <v>70</v>
      </c>
      <c r="B37" s="25">
        <v>1</v>
      </c>
    </row>
    <row r="38" spans="1:2" x14ac:dyDescent="0.3">
      <c r="A38" s="25" t="s">
        <v>70</v>
      </c>
      <c r="B38" s="25">
        <v>1</v>
      </c>
    </row>
    <row r="39" spans="1:2" x14ac:dyDescent="0.3">
      <c r="A39" s="25" t="s">
        <v>76</v>
      </c>
      <c r="B39" s="25">
        <v>1</v>
      </c>
    </row>
    <row r="40" spans="1:2" x14ac:dyDescent="0.3">
      <c r="A40" s="25" t="s">
        <v>79</v>
      </c>
      <c r="B40" s="25">
        <v>1</v>
      </c>
    </row>
    <row r="41" spans="1:2" x14ac:dyDescent="0.3">
      <c r="A41" s="25" t="s">
        <v>70</v>
      </c>
      <c r="B41" s="25">
        <v>1</v>
      </c>
    </row>
    <row r="42" spans="1:2" x14ac:dyDescent="0.3">
      <c r="A42" s="25" t="s">
        <v>70</v>
      </c>
      <c r="B42" s="25">
        <v>1</v>
      </c>
    </row>
    <row r="43" spans="1:2" x14ac:dyDescent="0.3">
      <c r="A43" s="25" t="s">
        <v>79</v>
      </c>
      <c r="B43" s="25">
        <v>1</v>
      </c>
    </row>
    <row r="44" spans="1:2" x14ac:dyDescent="0.3">
      <c r="A44" s="25" t="s">
        <v>70</v>
      </c>
      <c r="B44" s="25">
        <v>1</v>
      </c>
    </row>
    <row r="45" spans="1:2" x14ac:dyDescent="0.3">
      <c r="A45" s="25" t="s">
        <v>79</v>
      </c>
      <c r="B45" s="25">
        <v>1</v>
      </c>
    </row>
    <row r="46" spans="1:2" x14ac:dyDescent="0.3">
      <c r="A46" s="25" t="s">
        <v>70</v>
      </c>
      <c r="B46" s="25">
        <v>1</v>
      </c>
    </row>
    <row r="48" spans="1:2" x14ac:dyDescent="0.3">
      <c r="A48" s="38" t="s">
        <v>67</v>
      </c>
      <c r="B48" s="31" t="s">
        <v>376</v>
      </c>
    </row>
    <row r="49" spans="1:2" x14ac:dyDescent="0.3">
      <c r="A49" s="39" t="s">
        <v>71</v>
      </c>
      <c r="B49" s="25">
        <v>1</v>
      </c>
    </row>
    <row r="50" spans="1:2" x14ac:dyDescent="0.3">
      <c r="A50" s="40" t="s">
        <v>71</v>
      </c>
      <c r="B50" s="25">
        <v>1</v>
      </c>
    </row>
    <row r="51" spans="1:2" x14ac:dyDescent="0.3">
      <c r="A51" s="39" t="s">
        <v>71</v>
      </c>
      <c r="B51" s="25">
        <v>1</v>
      </c>
    </row>
    <row r="52" spans="1:2" x14ac:dyDescent="0.3">
      <c r="A52" s="40" t="s">
        <v>84</v>
      </c>
      <c r="B52" s="25">
        <v>1</v>
      </c>
    </row>
    <row r="53" spans="1:2" x14ac:dyDescent="0.3">
      <c r="A53" s="39" t="s">
        <v>71</v>
      </c>
      <c r="B53" s="25">
        <v>1</v>
      </c>
    </row>
    <row r="54" spans="1:2" x14ac:dyDescent="0.3">
      <c r="A54" s="40" t="s">
        <v>84</v>
      </c>
      <c r="B54" s="25">
        <v>1</v>
      </c>
    </row>
    <row r="55" spans="1:2" x14ac:dyDescent="0.3">
      <c r="A55" s="39" t="s">
        <v>84</v>
      </c>
      <c r="B55" s="25">
        <v>1</v>
      </c>
    </row>
    <row r="56" spans="1:2" x14ac:dyDescent="0.3">
      <c r="A56" s="40" t="s">
        <v>71</v>
      </c>
      <c r="B56" s="25">
        <v>1</v>
      </c>
    </row>
    <row r="57" spans="1:2" x14ac:dyDescent="0.3">
      <c r="A57" s="39" t="s">
        <v>71</v>
      </c>
      <c r="B57" s="25">
        <v>1</v>
      </c>
    </row>
    <row r="58" spans="1:2" x14ac:dyDescent="0.3">
      <c r="A58" s="40" t="s">
        <v>84</v>
      </c>
      <c r="B58" s="25">
        <v>1</v>
      </c>
    </row>
    <row r="59" spans="1:2" x14ac:dyDescent="0.3">
      <c r="A59" s="39" t="s">
        <v>84</v>
      </c>
      <c r="B59" s="25">
        <v>1</v>
      </c>
    </row>
    <row r="60" spans="1:2" x14ac:dyDescent="0.3">
      <c r="A60" s="40" t="s">
        <v>71</v>
      </c>
      <c r="B60" s="25">
        <v>1</v>
      </c>
    </row>
    <row r="61" spans="1:2" x14ac:dyDescent="0.3">
      <c r="A61" s="39" t="s">
        <v>84</v>
      </c>
      <c r="B61" s="25">
        <v>1</v>
      </c>
    </row>
    <row r="62" spans="1:2" x14ac:dyDescent="0.3">
      <c r="A62" s="40" t="s">
        <v>71</v>
      </c>
      <c r="B62" s="25">
        <v>1</v>
      </c>
    </row>
    <row r="63" spans="1:2" x14ac:dyDescent="0.3">
      <c r="A63" s="39" t="s">
        <v>71</v>
      </c>
      <c r="B63" s="25">
        <v>1</v>
      </c>
    </row>
  </sheetData>
  <mergeCells count="1">
    <mergeCell ref="I1:M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CAE070-9255-4E47-A3D8-3DCAD81344D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Home</vt:lpstr>
      <vt:lpstr>piece_of_cake1</vt:lpstr>
      <vt:lpstr>Dashboard</vt:lpstr>
      <vt:lpstr>AllTables</vt:lpstr>
      <vt:lpstr>inventory</vt:lpstr>
      <vt:lpstr>customer</vt:lpstr>
      <vt:lpstr>cart</vt:lpstr>
      <vt:lpstr>checkout</vt:lpstr>
      <vt:lpstr>customized_orders</vt:lpstr>
      <vt:lpstr>installments</vt:lpstr>
      <vt:lpstr>orders</vt:lpstr>
      <vt:lpstr>products</vt:lpstr>
      <vt:lpstr>Sales 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IM/2019/110 - BHAGYA S.M.T.</dc:creator>
  <cp:lastModifiedBy>IM/2019/110 - BHAGYA S.M.T.</cp:lastModifiedBy>
  <cp:lastPrinted>2023-10-15T13:48:40Z</cp:lastPrinted>
  <dcterms:created xsi:type="dcterms:W3CDTF">2023-10-14T09:31:10Z</dcterms:created>
  <dcterms:modified xsi:type="dcterms:W3CDTF">2025-03-16T16:16:32Z</dcterms:modified>
</cp:coreProperties>
</file>